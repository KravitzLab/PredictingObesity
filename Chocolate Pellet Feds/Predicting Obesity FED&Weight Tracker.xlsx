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 Sheet" sheetId="1" r:id="rId4"/>
    <sheet state="visible" name="Choco + Chow Weight tracking" sheetId="2" r:id="rId5"/>
    <sheet state="visible" name="Animal Weight" sheetId="3" r:id="rId6"/>
    <sheet state="visible" name="Chow Weight" sheetId="4" r:id="rId7"/>
    <sheet state="visible" name="Pellet Intake" sheetId="5" r:id="rId8"/>
    <sheet state="visible" name="Swap Weight Tracking" sheetId="6" r:id="rId9"/>
    <sheet state="visible" name="Preference Tests" sheetId="7" r:id="rId10"/>
    <sheet state="visible" name="Correlation Plot" sheetId="8" r:id="rId11"/>
  </sheets>
  <definedNames/>
  <calcPr/>
</workbook>
</file>

<file path=xl/sharedStrings.xml><?xml version="1.0" encoding="utf-8"?>
<sst xmlns="http://schemas.openxmlformats.org/spreadsheetml/2006/main" count="409" uniqueCount="200">
  <si>
    <t>Cage</t>
  </si>
  <si>
    <t>Animal Number</t>
  </si>
  <si>
    <t>Blood Draw Number</t>
  </si>
  <si>
    <t>Weight @ Blood Draw</t>
  </si>
  <si>
    <t>Weight @ FED</t>
  </si>
  <si>
    <t>Chow Weight @ Start</t>
  </si>
  <si>
    <t>Fed Number</t>
  </si>
  <si>
    <t>Bandit 100 D1 Pellets</t>
  </si>
  <si>
    <t>Bandit 100 D2 Pellets</t>
  </si>
  <si>
    <t>Food weight 11/5</t>
  </si>
  <si>
    <t>Δ Food Weight 11/5</t>
  </si>
  <si>
    <t>New Food weight 11/5</t>
  </si>
  <si>
    <t>Animal Weight 11/5</t>
  </si>
  <si>
    <t>Bandit 100 D3 Pellets</t>
  </si>
  <si>
    <t>FR1 D1 Pellets</t>
  </si>
  <si>
    <t>Animal Weight 11/07</t>
  </si>
  <si>
    <t>Food Weight 11/08</t>
  </si>
  <si>
    <t>New food Weight</t>
  </si>
  <si>
    <t>Δ Food Weight 11/7</t>
  </si>
  <si>
    <t>Animal Weight</t>
  </si>
  <si>
    <t>Food Weight 11/10</t>
  </si>
  <si>
    <t>Δ Food Weight 11/10</t>
  </si>
  <si>
    <t>Bandit 80 D1 Pellets</t>
  </si>
  <si>
    <t>Bandit 80 D2 Pellets</t>
  </si>
  <si>
    <t>Food Weight 11/12</t>
  </si>
  <si>
    <t>New Food Weight</t>
  </si>
  <si>
    <t>PR1 Pellets D1</t>
  </si>
  <si>
    <t>PR1 Pellets D2</t>
  </si>
  <si>
    <t>Food Weight 11/14</t>
  </si>
  <si>
    <t>39.2</t>
  </si>
  <si>
    <t>Jam</t>
  </si>
  <si>
    <t>39.5</t>
  </si>
  <si>
    <t>39.4</t>
  </si>
  <si>
    <t>39.3</t>
  </si>
  <si>
    <t>39.1</t>
  </si>
  <si>
    <t>40.2</t>
  </si>
  <si>
    <t>40.5</t>
  </si>
  <si>
    <t>40.4</t>
  </si>
  <si>
    <t>40.1</t>
  </si>
  <si>
    <t>40.3</t>
  </si>
  <si>
    <t>41.4</t>
  </si>
  <si>
    <t>41.1</t>
  </si>
  <si>
    <t>41.2</t>
  </si>
  <si>
    <t>41.3</t>
  </si>
  <si>
    <t>41.5</t>
  </si>
  <si>
    <t>42.4</t>
  </si>
  <si>
    <t>--</t>
  </si>
  <si>
    <t>42.2</t>
  </si>
  <si>
    <t>42.5</t>
  </si>
  <si>
    <t>42.1</t>
  </si>
  <si>
    <t>42.3</t>
  </si>
  <si>
    <t>Mouse ID</t>
  </si>
  <si>
    <t>Diet</t>
  </si>
  <si>
    <t>Sex</t>
  </si>
  <si>
    <t>1M1</t>
  </si>
  <si>
    <t>Chow + Choco</t>
  </si>
  <si>
    <t>M</t>
  </si>
  <si>
    <t>1M2</t>
  </si>
  <si>
    <t>1M3</t>
  </si>
  <si>
    <t>2M1</t>
  </si>
  <si>
    <t>F</t>
  </si>
  <si>
    <t>2M2</t>
  </si>
  <si>
    <t>2M3</t>
  </si>
  <si>
    <t>3M1</t>
  </si>
  <si>
    <t>Chow</t>
  </si>
  <si>
    <t>3M2</t>
  </si>
  <si>
    <t>4M1</t>
  </si>
  <si>
    <t>4M2</t>
  </si>
  <si>
    <t>Weight Change</t>
  </si>
  <si>
    <t>Daily Weight Gain on FED</t>
  </si>
  <si>
    <t>Fed+Beam Weight Change</t>
  </si>
  <si>
    <t>Weight Change 1D HFD</t>
  </si>
  <si>
    <t>Weight Change 1W HFD</t>
  </si>
  <si>
    <t>Weight Change 2W HFD</t>
  </si>
  <si>
    <t>On Fed with Choco Pellets</t>
  </si>
  <si>
    <t>Ad Libitum Choco</t>
  </si>
  <si>
    <t>After 1 Day on HFD</t>
  </si>
  <si>
    <t>Bandit100</t>
  </si>
  <si>
    <t>FR1</t>
  </si>
  <si>
    <t>Weekend FreeFeed</t>
  </si>
  <si>
    <t>Bandit 80</t>
  </si>
  <si>
    <t>PR1</t>
  </si>
  <si>
    <t>Δ Weight 11/5/2025</t>
  </si>
  <si>
    <t>Δ Weight 11/7/2025</t>
  </si>
  <si>
    <t>Δ Weight 11/10/2025</t>
  </si>
  <si>
    <t>Δ Weight 11/12/2025</t>
  </si>
  <si>
    <t>Δ Weight 11/14/2025</t>
  </si>
  <si>
    <t>Total Food Eaten</t>
  </si>
  <si>
    <t>Daily Food</t>
  </si>
  <si>
    <t>HFD Tracker</t>
  </si>
  <si>
    <t>1Hr HFD Δ</t>
  </si>
  <si>
    <t>New food Weight 11/08</t>
  </si>
  <si>
    <t>New Food Weight 11/12</t>
  </si>
  <si>
    <t>Daily Weight Change</t>
  </si>
  <si>
    <t>Total pellets eaten</t>
  </si>
  <si>
    <t>Daily Pellets</t>
  </si>
  <si>
    <t>Date</t>
  </si>
  <si>
    <t>Mouse</t>
  </si>
  <si>
    <t>Swap Type</t>
  </si>
  <si>
    <t>Weight</t>
  </si>
  <si>
    <t>Weight gain</t>
  </si>
  <si>
    <t>Food in Cage</t>
  </si>
  <si>
    <t>Choco Swap</t>
  </si>
  <si>
    <t>Choco + Chow</t>
  </si>
  <si>
    <t>Chow Swap</t>
  </si>
  <si>
    <t>Swap</t>
  </si>
  <si>
    <t>Choco</t>
  </si>
  <si>
    <t>Initial</t>
  </si>
  <si>
    <t>Post Fed</t>
  </si>
  <si>
    <t>Cage #</t>
  </si>
  <si>
    <t>Choco Eaten</t>
  </si>
  <si>
    <t>Chow Eaten</t>
  </si>
  <si>
    <t>Pref Index</t>
  </si>
  <si>
    <t>Weight Change 24hr HFD</t>
  </si>
  <si>
    <t>Initial Pref Test Choco</t>
  </si>
  <si>
    <t>Initial Pref Test Chow</t>
  </si>
  <si>
    <t>Initial Pref Index</t>
  </si>
  <si>
    <t>Post FED Test Choco</t>
  </si>
  <si>
    <t>Post FED Test Chow</t>
  </si>
  <si>
    <t>Post FED Index</t>
  </si>
  <si>
    <t>Daily Chow Consumption</t>
  </si>
  <si>
    <t>24hr HFD Consumption</t>
  </si>
  <si>
    <t>Win-stay_Bandit100</t>
  </si>
  <si>
    <t>Lose-shift_Bandit100</t>
  </si>
  <si>
    <t>PeakAccuracy_Bandit100</t>
  </si>
  <si>
    <t>Total_pellets_Bandit100</t>
  </si>
  <si>
    <t>Total_pokes_Bandit100</t>
  </si>
  <si>
    <t>PokesPerPellet_Bandit100</t>
  </si>
  <si>
    <t>RetrievalTime_Bandit100</t>
  </si>
  <si>
    <t>PokeTime_Bandit100</t>
  </si>
  <si>
    <t>daily pellets_Bandit100</t>
  </si>
  <si>
    <t>Win-stay_Day_Bandit100</t>
  </si>
  <si>
    <t>Win-stay_Night_Bandit100</t>
  </si>
  <si>
    <t>Lose-shift_Day_Bandit100</t>
  </si>
  <si>
    <t>Lose-shift_Night_Bandit100</t>
  </si>
  <si>
    <t>PeakAccuracy_Day_Bandit100</t>
  </si>
  <si>
    <t>PeakAccuracy_Night_Bandit100</t>
  </si>
  <si>
    <t>Win-stay_Bandit80</t>
  </si>
  <si>
    <t>Lose-shift_Bandit80</t>
  </si>
  <si>
    <t>PeakAccuracy_Bandit80</t>
  </si>
  <si>
    <t>Total_pellets_Bandit80</t>
  </si>
  <si>
    <t>Total_pokes_Bandit80</t>
  </si>
  <si>
    <t>PokesPerPellet_Bandit80</t>
  </si>
  <si>
    <t>RetrievalTime_Bandit80</t>
  </si>
  <si>
    <t>PokeTime_Bandit80</t>
  </si>
  <si>
    <t>daily pellets_Bandit80</t>
  </si>
  <si>
    <t>Win-stay_Day_Bandit80</t>
  </si>
  <si>
    <t>Win-stay_Night_Bandit80</t>
  </si>
  <si>
    <t>Lose-shift_Day_Bandit80</t>
  </si>
  <si>
    <t>Lose-shift_Night_Bandit80</t>
  </si>
  <si>
    <t>PeakAccuracy_Day_Bandit80</t>
  </si>
  <si>
    <t>PeakAccuracy_Night_Bandit80</t>
  </si>
  <si>
    <t>Pellets_FR1</t>
  </si>
  <si>
    <t>Left_Poke_FR1</t>
  </si>
  <si>
    <t>Right_Poke_FR1</t>
  </si>
  <si>
    <t>Total_Pokes_FR1</t>
  </si>
  <si>
    <t>Accuracy_FR1</t>
  </si>
  <si>
    <t>PokesPerPellet_FR1</t>
  </si>
  <si>
    <t>RetrievalTime_FR1</t>
  </si>
  <si>
    <t>InterPelletInterval_FR1</t>
  </si>
  <si>
    <t>PokeTime_FR1</t>
  </si>
  <si>
    <t>%MealPellets_FR1</t>
  </si>
  <si>
    <t>%GrazingPellets_FR1</t>
  </si>
  <si>
    <t>NumMeals_FR1</t>
  </si>
  <si>
    <t>AvgMealSize_FR1</t>
  </si>
  <si>
    <t>AvgMealDuration_FR1</t>
  </si>
  <si>
    <t>RecordingHours_FR1</t>
  </si>
  <si>
    <t>MealsPerHour_FR1</t>
  </si>
  <si>
    <t>Daily_Pellets_FR1</t>
  </si>
  <si>
    <t>Left Poke with Pellet_FR1</t>
  </si>
  <si>
    <t>Within_meal_pellet_rate_FR1</t>
  </si>
  <si>
    <t>%MealPellets_Day_FR1</t>
  </si>
  <si>
    <t>%GrazingPellets_Day_FR1</t>
  </si>
  <si>
    <t>Pellets_Day_FR1</t>
  </si>
  <si>
    <t>NumMeals_Day_FR1</t>
  </si>
  <si>
    <t>AvgMealSize_Day_FR1</t>
  </si>
  <si>
    <t>AvgMealDuration_Day_FR1</t>
  </si>
  <si>
    <t>MealsPerHour_Day_FR1</t>
  </si>
  <si>
    <t>Accuracy_Day_FR1</t>
  </si>
  <si>
    <t>%MealPellets_Night_FR1</t>
  </si>
  <si>
    <t>%GrazingPellets_Night_FR1</t>
  </si>
  <si>
    <t>Pellets_Night_FR1</t>
  </si>
  <si>
    <t>NumMeals_Night_FR1</t>
  </si>
  <si>
    <t>AvgMealSize_Night_FR1</t>
  </si>
  <si>
    <t>AvgMealDuration_Night_FR1</t>
  </si>
  <si>
    <t>MealsPerHour_Night_FR1</t>
  </si>
  <si>
    <t>Accuracy_Night_FR1</t>
  </si>
  <si>
    <t>Left_Poke_PR1</t>
  </si>
  <si>
    <t>Right_Poke_PR1</t>
  </si>
  <si>
    <t>Total_Pokes_PR1</t>
  </si>
  <si>
    <t>Accuracy_PR1</t>
  </si>
  <si>
    <t>PokesPerPellet_PR1</t>
  </si>
  <si>
    <t>MedianBreakPoint_PR1</t>
  </si>
  <si>
    <t>Numberofblocks_PR1</t>
  </si>
  <si>
    <t>daily pellets_PR1</t>
  </si>
  <si>
    <t>Demand_Q0_raw_PR1</t>
  </si>
  <si>
    <t>Demand_alpha_raw_PR1</t>
  </si>
  <si>
    <t>Demand_beta_raw_PR1</t>
  </si>
  <si>
    <t>Demand_alpha_FR_PR1</t>
  </si>
  <si>
    <t>Demand_beta_FR_PR1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</si>
</sst>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3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3" fontId="3" numFmtId="0" xfId="0" applyFont="1"/>
    <xf borderId="0" fillId="6" fontId="3" numFmtId="0" xfId="0" applyAlignment="1" applyFont="1">
      <alignment readingOrder="0"/>
    </xf>
    <xf borderId="0" fillId="2" fontId="3" numFmtId="2" xfId="0" applyAlignment="1" applyFont="1" applyNumberFormat="1">
      <alignment readingOrder="0"/>
    </xf>
    <xf borderId="0" fillId="6" fontId="3" numFmtId="0" xfId="0" applyFont="1"/>
    <xf borderId="0" fillId="7" fontId="3" numFmtId="0" xfId="0" applyAlignment="1" applyFill="1" applyFont="1">
      <alignment readingOrder="0"/>
    </xf>
    <xf borderId="0" fillId="0" fontId="1" numFmtId="0" xfId="0" applyFont="1"/>
    <xf borderId="0" fillId="8" fontId="3" numFmtId="166" xfId="0" applyAlignment="1" applyFill="1" applyFont="1" applyNumberFormat="1">
      <alignment readingOrder="0"/>
    </xf>
    <xf borderId="0" fillId="8" fontId="3" numFmtId="0" xfId="0" applyAlignment="1" applyFont="1">
      <alignment readingOrder="0"/>
    </xf>
    <xf borderId="0" fillId="8" fontId="3" numFmtId="0" xfId="0" applyFont="1"/>
    <xf borderId="0" fillId="9" fontId="3" numFmtId="166" xfId="0" applyAlignment="1" applyFill="1" applyFont="1" applyNumberFormat="1">
      <alignment readingOrder="0"/>
    </xf>
    <xf borderId="0" fillId="9" fontId="3" numFmtId="0" xfId="0" applyAlignment="1" applyFont="1">
      <alignment readingOrder="0"/>
    </xf>
    <xf borderId="0" fillId="9" fontId="3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0" fontId="3" numFmtId="2" xfId="0" applyFont="1" applyNumberFormat="1"/>
    <xf borderId="0" fillId="0" fontId="3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4" width="17.38"/>
    <col customWidth="1" min="6" max="6" width="17.0"/>
    <col customWidth="1" min="8" max="9" width="17.88"/>
    <col customWidth="1" min="10" max="10" width="14.38"/>
    <col customWidth="1" min="11" max="11" width="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19</v>
      </c>
      <c r="Z1" s="2" t="s">
        <v>24</v>
      </c>
      <c r="AA1" s="2" t="s">
        <v>25</v>
      </c>
      <c r="AB1" s="4" t="s">
        <v>26</v>
      </c>
      <c r="AC1" s="2" t="s">
        <v>27</v>
      </c>
      <c r="AD1" s="2" t="s">
        <v>19</v>
      </c>
      <c r="AE1" s="2" t="s">
        <v>28</v>
      </c>
      <c r="AF1" s="5"/>
      <c r="AG1" s="6"/>
    </row>
    <row r="2">
      <c r="A2" s="7">
        <v>1.0</v>
      </c>
      <c r="B2" s="7">
        <v>2.0</v>
      </c>
      <c r="C2" s="8" t="s">
        <v>29</v>
      </c>
      <c r="D2" s="9">
        <v>27.65</v>
      </c>
      <c r="E2" s="9">
        <v>26.62</v>
      </c>
      <c r="F2" s="9">
        <v>24.27</v>
      </c>
      <c r="G2" s="9">
        <v>1.0</v>
      </c>
      <c r="H2" s="9" t="s">
        <v>30</v>
      </c>
      <c r="I2" s="10">
        <v>140.0</v>
      </c>
      <c r="J2" s="10">
        <v>21.39</v>
      </c>
      <c r="K2" s="11">
        <f t="shared" ref="K2:K21" si="1">J2-F2</f>
        <v>-2.88</v>
      </c>
      <c r="L2" s="10">
        <v>80.3</v>
      </c>
      <c r="M2" s="10">
        <v>26.93</v>
      </c>
      <c r="N2" s="9">
        <v>256.0</v>
      </c>
      <c r="O2" s="10">
        <v>114.0</v>
      </c>
      <c r="P2" s="10">
        <v>27.32</v>
      </c>
      <c r="Q2" s="10">
        <v>76.62</v>
      </c>
      <c r="R2" s="10">
        <v>76.62</v>
      </c>
      <c r="S2" s="11">
        <f t="shared" ref="S2:S21" si="2">Q2-L2</f>
        <v>-3.68</v>
      </c>
      <c r="T2" s="9">
        <v>28.13</v>
      </c>
      <c r="U2" s="9">
        <v>73.4</v>
      </c>
      <c r="V2" s="9">
        <f t="shared" ref="V2:V21" si="3">U2-R2</f>
        <v>-3.22</v>
      </c>
      <c r="W2" s="10">
        <v>91.0</v>
      </c>
      <c r="X2" s="9">
        <v>199.0</v>
      </c>
      <c r="Y2" s="9">
        <v>27.55</v>
      </c>
      <c r="Z2" s="9">
        <v>72.1</v>
      </c>
      <c r="AA2" s="9">
        <v>81.49</v>
      </c>
      <c r="AB2" s="12">
        <v>51.0</v>
      </c>
      <c r="AC2" s="9">
        <v>104.0</v>
      </c>
      <c r="AD2" s="9">
        <v>27.27</v>
      </c>
      <c r="AE2" s="9">
        <v>77.19</v>
      </c>
      <c r="AF2" s="6"/>
      <c r="AG2" s="6"/>
    </row>
    <row r="3">
      <c r="A3" s="7">
        <v>2.0</v>
      </c>
      <c r="B3" s="7">
        <v>5.0</v>
      </c>
      <c r="C3" s="8" t="s">
        <v>31</v>
      </c>
      <c r="D3" s="9">
        <v>26.99</v>
      </c>
      <c r="E3" s="9">
        <v>26.23</v>
      </c>
      <c r="F3" s="9">
        <v>23.8</v>
      </c>
      <c r="G3" s="9">
        <v>2.0</v>
      </c>
      <c r="H3" s="9">
        <v>145.0</v>
      </c>
      <c r="I3" s="10">
        <v>215.0</v>
      </c>
      <c r="J3" s="10">
        <v>21.88</v>
      </c>
      <c r="K3" s="11">
        <f t="shared" si="1"/>
        <v>-1.92</v>
      </c>
      <c r="L3" s="10">
        <v>93.78</v>
      </c>
      <c r="M3" s="10">
        <v>25.85</v>
      </c>
      <c r="N3" s="9">
        <v>222.0</v>
      </c>
      <c r="O3" s="10" t="s">
        <v>30</v>
      </c>
      <c r="P3" s="10">
        <v>26.21</v>
      </c>
      <c r="Q3" s="10">
        <v>92.65</v>
      </c>
      <c r="R3" s="10">
        <v>89.68</v>
      </c>
      <c r="S3" s="11">
        <f t="shared" si="2"/>
        <v>-1.13</v>
      </c>
      <c r="T3" s="9">
        <v>27.31</v>
      </c>
      <c r="U3" s="9">
        <v>86.02</v>
      </c>
      <c r="V3" s="9">
        <f t="shared" si="3"/>
        <v>-3.66</v>
      </c>
      <c r="W3" s="10">
        <v>93.0</v>
      </c>
      <c r="X3" s="9">
        <v>217.0</v>
      </c>
      <c r="Y3" s="9">
        <v>26.99</v>
      </c>
      <c r="Z3" s="9">
        <v>85.73</v>
      </c>
      <c r="AA3" s="9">
        <v>92.01</v>
      </c>
      <c r="AB3" s="12">
        <v>67.0</v>
      </c>
      <c r="AC3" s="9">
        <v>131.0</v>
      </c>
      <c r="AD3" s="9">
        <v>26.45</v>
      </c>
      <c r="AE3" s="9">
        <v>88.98</v>
      </c>
      <c r="AF3" s="6"/>
      <c r="AG3" s="6"/>
    </row>
    <row r="4">
      <c r="A4" s="7">
        <v>3.0</v>
      </c>
      <c r="B4" s="7">
        <v>4.0</v>
      </c>
      <c r="C4" s="8" t="s">
        <v>32</v>
      </c>
      <c r="D4" s="9">
        <v>27.48</v>
      </c>
      <c r="E4" s="9">
        <v>27.03</v>
      </c>
      <c r="F4" s="9">
        <v>22.68</v>
      </c>
      <c r="G4" s="9">
        <v>3.0</v>
      </c>
      <c r="H4" s="9" t="s">
        <v>30</v>
      </c>
      <c r="I4" s="10">
        <v>150.0</v>
      </c>
      <c r="J4" s="10">
        <v>19.36</v>
      </c>
      <c r="K4" s="11">
        <f t="shared" si="1"/>
        <v>-3.32</v>
      </c>
      <c r="L4" s="10">
        <v>77.73</v>
      </c>
      <c r="M4" s="10">
        <v>27.48</v>
      </c>
      <c r="N4" s="9">
        <v>289.0</v>
      </c>
      <c r="O4" s="10">
        <v>131.0</v>
      </c>
      <c r="P4" s="10">
        <v>27.44</v>
      </c>
      <c r="Q4" s="10">
        <v>75.84</v>
      </c>
      <c r="R4" s="10">
        <v>77.02</v>
      </c>
      <c r="S4" s="11">
        <f t="shared" si="2"/>
        <v>-1.89</v>
      </c>
      <c r="T4" s="9">
        <v>29.21</v>
      </c>
      <c r="U4" s="9">
        <v>74.0</v>
      </c>
      <c r="V4" s="9">
        <f t="shared" si="3"/>
        <v>-3.02</v>
      </c>
      <c r="W4" s="10">
        <v>110.0</v>
      </c>
      <c r="X4" s="9">
        <v>240.0</v>
      </c>
      <c r="Y4" s="9">
        <v>28.57</v>
      </c>
      <c r="Z4" s="9">
        <v>71.23</v>
      </c>
      <c r="AA4" s="9">
        <v>80.61</v>
      </c>
      <c r="AB4" s="12">
        <v>72.0</v>
      </c>
      <c r="AC4" s="9">
        <v>124.0</v>
      </c>
      <c r="AD4" s="9">
        <v>28.35</v>
      </c>
      <c r="AE4" s="9">
        <v>77.03</v>
      </c>
      <c r="AF4" s="6"/>
      <c r="AG4" s="6"/>
    </row>
    <row r="5">
      <c r="A5" s="7">
        <v>4.0</v>
      </c>
      <c r="B5" s="7">
        <v>3.0</v>
      </c>
      <c r="C5" s="8" t="s">
        <v>33</v>
      </c>
      <c r="D5" s="9">
        <v>26.78</v>
      </c>
      <c r="E5" s="9">
        <v>26.64</v>
      </c>
      <c r="F5" s="9">
        <v>21.58</v>
      </c>
      <c r="G5" s="9">
        <v>4.0</v>
      </c>
      <c r="H5" s="9">
        <v>163.0</v>
      </c>
      <c r="I5" s="10">
        <v>310.0</v>
      </c>
      <c r="J5" s="10">
        <v>20.21</v>
      </c>
      <c r="K5" s="11">
        <f t="shared" si="1"/>
        <v>-1.37</v>
      </c>
      <c r="L5" s="10">
        <v>79.89</v>
      </c>
      <c r="M5" s="10">
        <v>26.27</v>
      </c>
      <c r="N5" s="9">
        <v>458.0</v>
      </c>
      <c r="O5" s="10">
        <v>179.0</v>
      </c>
      <c r="P5" s="10">
        <v>26.83</v>
      </c>
      <c r="Q5" s="10">
        <v>78.69</v>
      </c>
      <c r="R5" s="10">
        <v>78.69</v>
      </c>
      <c r="S5" s="11">
        <f t="shared" si="2"/>
        <v>-1.2</v>
      </c>
      <c r="T5" s="9">
        <v>27.85</v>
      </c>
      <c r="U5" s="9">
        <v>75.65</v>
      </c>
      <c r="V5" s="9">
        <f t="shared" si="3"/>
        <v>-3.04</v>
      </c>
      <c r="W5" s="10">
        <v>94.0</v>
      </c>
      <c r="X5" s="9">
        <v>200.0</v>
      </c>
      <c r="Y5" s="9">
        <v>27.2</v>
      </c>
      <c r="Z5" s="9">
        <v>73.21</v>
      </c>
      <c r="AA5" s="9">
        <v>78.43</v>
      </c>
      <c r="AB5" s="12">
        <v>69.0</v>
      </c>
      <c r="AC5" s="9">
        <v>130.0</v>
      </c>
      <c r="AD5" s="9">
        <v>27.0</v>
      </c>
      <c r="AE5" s="9">
        <v>75.62</v>
      </c>
      <c r="AF5" s="6"/>
      <c r="AG5" s="6"/>
    </row>
    <row r="6">
      <c r="A6" s="7">
        <v>5.0</v>
      </c>
      <c r="B6" s="7">
        <v>1.0</v>
      </c>
      <c r="C6" s="8" t="s">
        <v>34</v>
      </c>
      <c r="D6" s="9">
        <v>23.53</v>
      </c>
      <c r="E6" s="9">
        <v>23.75</v>
      </c>
      <c r="F6" s="9">
        <v>20.77</v>
      </c>
      <c r="G6" s="9">
        <v>5.0</v>
      </c>
      <c r="H6" s="9">
        <v>170.0</v>
      </c>
      <c r="I6" s="10">
        <v>333.0</v>
      </c>
      <c r="J6" s="10">
        <v>19.82</v>
      </c>
      <c r="K6" s="11">
        <f t="shared" si="1"/>
        <v>-0.95</v>
      </c>
      <c r="L6" s="10">
        <v>91.84</v>
      </c>
      <c r="M6" s="10">
        <v>23.6</v>
      </c>
      <c r="N6" s="9">
        <v>482.0</v>
      </c>
      <c r="O6" s="10">
        <v>142.0</v>
      </c>
      <c r="P6" s="10">
        <v>24.03</v>
      </c>
      <c r="Q6" s="10">
        <v>90.7</v>
      </c>
      <c r="R6" s="10">
        <v>90.7</v>
      </c>
      <c r="S6" s="11">
        <f t="shared" si="2"/>
        <v>-1.14</v>
      </c>
      <c r="T6" s="9">
        <v>25.44</v>
      </c>
      <c r="U6" s="9">
        <v>87.67</v>
      </c>
      <c r="V6" s="9">
        <f t="shared" si="3"/>
        <v>-3.03</v>
      </c>
      <c r="W6" s="10">
        <v>111.0</v>
      </c>
      <c r="X6" s="9">
        <v>236.0</v>
      </c>
      <c r="Y6" s="9">
        <v>25.0</v>
      </c>
      <c r="Z6" s="9">
        <v>86.8</v>
      </c>
      <c r="AA6" s="9">
        <v>92.73</v>
      </c>
      <c r="AB6" s="12">
        <v>66.0</v>
      </c>
      <c r="AC6" s="9">
        <v>135.0</v>
      </c>
      <c r="AD6" s="9">
        <v>24.14</v>
      </c>
      <c r="AE6" s="9">
        <v>91.99</v>
      </c>
      <c r="AF6" s="6"/>
      <c r="AG6" s="6"/>
    </row>
    <row r="7">
      <c r="A7" s="7">
        <v>6.0</v>
      </c>
      <c r="B7" s="7">
        <v>2.0</v>
      </c>
      <c r="C7" s="8" t="s">
        <v>35</v>
      </c>
      <c r="D7" s="9">
        <v>26.88</v>
      </c>
      <c r="E7" s="9">
        <v>27.54</v>
      </c>
      <c r="F7" s="9">
        <v>20.26</v>
      </c>
      <c r="G7" s="9">
        <v>6.0</v>
      </c>
      <c r="H7" s="9">
        <v>203.0</v>
      </c>
      <c r="I7" s="10">
        <v>384.0</v>
      </c>
      <c r="J7" s="10">
        <v>19.35</v>
      </c>
      <c r="K7" s="11">
        <f t="shared" si="1"/>
        <v>-0.91</v>
      </c>
      <c r="L7" s="10">
        <v>78.61</v>
      </c>
      <c r="M7" s="10">
        <v>25.2</v>
      </c>
      <c r="N7" s="9">
        <v>532.0</v>
      </c>
      <c r="O7" s="10">
        <v>151.0</v>
      </c>
      <c r="P7" s="10">
        <v>26.38</v>
      </c>
      <c r="Q7" s="10">
        <v>76.03</v>
      </c>
      <c r="R7" s="10">
        <v>80.29</v>
      </c>
      <c r="S7" s="11">
        <f t="shared" si="2"/>
        <v>-2.58</v>
      </c>
      <c r="T7" s="9">
        <v>27.22</v>
      </c>
      <c r="U7" s="9">
        <v>73.35</v>
      </c>
      <c r="V7" s="9">
        <f t="shared" si="3"/>
        <v>-6.94</v>
      </c>
      <c r="W7" s="10">
        <v>109.0</v>
      </c>
      <c r="X7" s="9">
        <v>233.0</v>
      </c>
      <c r="Y7" s="9">
        <v>27.53</v>
      </c>
      <c r="Z7" s="9">
        <v>71.1</v>
      </c>
      <c r="AA7" s="9">
        <v>80.54</v>
      </c>
      <c r="AB7" s="12">
        <v>66.0</v>
      </c>
      <c r="AC7" s="9">
        <v>124.0</v>
      </c>
      <c r="AD7" s="9">
        <v>26.89</v>
      </c>
      <c r="AE7" s="9">
        <v>76.12</v>
      </c>
      <c r="AF7" s="6"/>
      <c r="AG7" s="6"/>
    </row>
    <row r="8">
      <c r="A8" s="7">
        <v>7.0</v>
      </c>
      <c r="B8" s="7">
        <v>5.0</v>
      </c>
      <c r="C8" s="8" t="s">
        <v>36</v>
      </c>
      <c r="D8" s="9">
        <v>27.69</v>
      </c>
      <c r="E8" s="9">
        <v>26.44</v>
      </c>
      <c r="F8" s="9">
        <v>21.99</v>
      </c>
      <c r="G8" s="9">
        <v>7.0</v>
      </c>
      <c r="H8" s="9">
        <v>185.0</v>
      </c>
      <c r="I8" s="10">
        <v>339.0</v>
      </c>
      <c r="J8" s="10">
        <v>21.16</v>
      </c>
      <c r="K8" s="11">
        <f t="shared" si="1"/>
        <v>-0.83</v>
      </c>
      <c r="L8" s="10">
        <v>76.64</v>
      </c>
      <c r="M8" s="10">
        <v>25.36</v>
      </c>
      <c r="N8" s="9">
        <v>467.0</v>
      </c>
      <c r="O8" s="10">
        <v>131.0</v>
      </c>
      <c r="P8" s="10">
        <v>26.15</v>
      </c>
      <c r="Q8" s="10">
        <v>75.25</v>
      </c>
      <c r="R8" s="10">
        <v>75.25</v>
      </c>
      <c r="S8" s="11">
        <f t="shared" si="2"/>
        <v>-1.39</v>
      </c>
      <c r="T8" s="9">
        <v>25.82</v>
      </c>
      <c r="U8" s="9">
        <v>72.57</v>
      </c>
      <c r="V8" s="9">
        <f t="shared" si="3"/>
        <v>-2.68</v>
      </c>
      <c r="W8" s="10">
        <v>139.0</v>
      </c>
      <c r="X8" s="9">
        <v>260.0</v>
      </c>
      <c r="Y8" s="9">
        <v>26.23</v>
      </c>
      <c r="Z8" s="9">
        <v>71.02</v>
      </c>
      <c r="AA8" s="9">
        <v>75.03</v>
      </c>
      <c r="AB8" s="12">
        <v>58.0</v>
      </c>
      <c r="AC8" s="9">
        <v>113.0</v>
      </c>
      <c r="AD8" s="9">
        <v>26.0</v>
      </c>
      <c r="AE8" s="9">
        <v>73.34</v>
      </c>
      <c r="AF8" s="6"/>
      <c r="AG8" s="6"/>
    </row>
    <row r="9">
      <c r="A9" s="7">
        <v>8.0</v>
      </c>
      <c r="B9" s="7">
        <v>4.0</v>
      </c>
      <c r="C9" s="8" t="s">
        <v>37</v>
      </c>
      <c r="D9" s="9">
        <v>28.56</v>
      </c>
      <c r="E9" s="9">
        <v>28.54</v>
      </c>
      <c r="F9" s="9">
        <v>21.86</v>
      </c>
      <c r="G9" s="9">
        <v>8.0</v>
      </c>
      <c r="H9" s="9">
        <v>140.0</v>
      </c>
      <c r="I9" s="10">
        <v>272.0</v>
      </c>
      <c r="J9" s="10">
        <v>18.37</v>
      </c>
      <c r="K9" s="11">
        <f t="shared" si="1"/>
        <v>-3.49</v>
      </c>
      <c r="L9" s="10">
        <v>77.49</v>
      </c>
      <c r="M9" s="10">
        <v>29.15</v>
      </c>
      <c r="N9" s="9">
        <v>390.0</v>
      </c>
      <c r="O9" s="10">
        <v>166.0</v>
      </c>
      <c r="P9" s="10">
        <v>28.22</v>
      </c>
      <c r="Q9" s="10">
        <v>73.97</v>
      </c>
      <c r="R9" s="10">
        <v>81.68</v>
      </c>
      <c r="S9" s="11">
        <f t="shared" si="2"/>
        <v>-3.52</v>
      </c>
      <c r="T9" s="9">
        <v>28.7</v>
      </c>
      <c r="U9" s="9">
        <v>77.42</v>
      </c>
      <c r="V9" s="9">
        <f t="shared" si="3"/>
        <v>-4.26</v>
      </c>
      <c r="W9" s="10">
        <v>132.0</v>
      </c>
      <c r="X9" s="9">
        <v>250.0</v>
      </c>
      <c r="Y9" s="9">
        <v>28.82</v>
      </c>
      <c r="Z9" s="9">
        <v>74.67</v>
      </c>
      <c r="AA9" s="9">
        <v>79.78</v>
      </c>
      <c r="AB9" s="12">
        <v>61.0</v>
      </c>
      <c r="AC9" s="9">
        <v>116.0</v>
      </c>
      <c r="AD9" s="9">
        <v>28.38</v>
      </c>
      <c r="AE9" s="9">
        <v>76.98</v>
      </c>
      <c r="AF9" s="6"/>
      <c r="AG9" s="6"/>
    </row>
    <row r="10">
      <c r="A10" s="7">
        <v>9.0</v>
      </c>
      <c r="B10" s="7">
        <v>1.0</v>
      </c>
      <c r="C10" s="8" t="s">
        <v>38</v>
      </c>
      <c r="D10" s="9">
        <v>26.8</v>
      </c>
      <c r="E10" s="9">
        <v>27.39</v>
      </c>
      <c r="F10" s="9">
        <v>19.6</v>
      </c>
      <c r="G10" s="9">
        <v>9.0</v>
      </c>
      <c r="H10" s="9">
        <v>130.0</v>
      </c>
      <c r="I10" s="10">
        <v>280.0</v>
      </c>
      <c r="J10" s="10">
        <v>18.3</v>
      </c>
      <c r="K10" s="11">
        <f t="shared" si="1"/>
        <v>-1.3</v>
      </c>
      <c r="L10" s="10">
        <v>72.48</v>
      </c>
      <c r="M10" s="10">
        <v>26.28</v>
      </c>
      <c r="N10" s="9">
        <v>418.0</v>
      </c>
      <c r="O10" s="10">
        <v>159.0</v>
      </c>
      <c r="P10" s="10">
        <v>27.18</v>
      </c>
      <c r="Q10" s="10">
        <v>70.22</v>
      </c>
      <c r="R10" s="10">
        <v>70.22</v>
      </c>
      <c r="S10" s="11">
        <f t="shared" si="2"/>
        <v>-2.26</v>
      </c>
      <c r="T10" s="9">
        <v>26.01</v>
      </c>
      <c r="U10" s="9">
        <v>64.62</v>
      </c>
      <c r="V10" s="9">
        <f t="shared" si="3"/>
        <v>-5.6</v>
      </c>
      <c r="W10" s="10">
        <v>120.0</v>
      </c>
      <c r="X10" s="9">
        <v>233.0</v>
      </c>
      <c r="Y10" s="9">
        <v>27.33</v>
      </c>
      <c r="Z10" s="9">
        <v>60.26</v>
      </c>
      <c r="AA10" s="9">
        <v>76.82</v>
      </c>
      <c r="AB10" s="12">
        <v>47.0</v>
      </c>
      <c r="AC10" s="9">
        <v>93.0</v>
      </c>
      <c r="AD10" s="9">
        <v>27.83</v>
      </c>
      <c r="AE10" s="9">
        <v>70.0</v>
      </c>
      <c r="AF10" s="6"/>
      <c r="AG10" s="6"/>
    </row>
    <row r="11">
      <c r="A11" s="7">
        <v>10.0</v>
      </c>
      <c r="B11" s="7">
        <v>3.0</v>
      </c>
      <c r="C11" s="8" t="s">
        <v>39</v>
      </c>
      <c r="D11" s="9">
        <v>25.6</v>
      </c>
      <c r="E11" s="9">
        <v>25.37</v>
      </c>
      <c r="F11" s="9">
        <v>19.31</v>
      </c>
      <c r="G11" s="9">
        <v>10.0</v>
      </c>
      <c r="H11" s="9">
        <v>151.0</v>
      </c>
      <c r="I11" s="10">
        <v>298.0</v>
      </c>
      <c r="J11" s="10">
        <v>17.97</v>
      </c>
      <c r="K11" s="11">
        <f t="shared" si="1"/>
        <v>-1.34</v>
      </c>
      <c r="L11" s="10">
        <v>77.42</v>
      </c>
      <c r="M11" s="10">
        <v>25.48</v>
      </c>
      <c r="N11" s="9">
        <v>435.0</v>
      </c>
      <c r="O11" s="10">
        <v>150.0</v>
      </c>
      <c r="P11" s="10">
        <v>25.9</v>
      </c>
      <c r="Q11" s="10">
        <v>76.01</v>
      </c>
      <c r="R11" s="10">
        <v>80.51</v>
      </c>
      <c r="S11" s="11">
        <f t="shared" si="2"/>
        <v>-1.41</v>
      </c>
      <c r="T11" s="9">
        <v>26.19</v>
      </c>
      <c r="U11" s="9">
        <v>77.54</v>
      </c>
      <c r="V11" s="9">
        <f t="shared" si="3"/>
        <v>-2.97</v>
      </c>
      <c r="W11" s="10">
        <v>116.0</v>
      </c>
      <c r="X11" s="9">
        <v>237.0</v>
      </c>
      <c r="Y11" s="9">
        <v>25.9</v>
      </c>
      <c r="Z11" s="9">
        <v>75.47</v>
      </c>
      <c r="AA11" s="9">
        <v>80.48</v>
      </c>
      <c r="AB11" s="12">
        <v>77.0</v>
      </c>
      <c r="AC11" s="9">
        <v>144.0</v>
      </c>
      <c r="AD11" s="9">
        <v>25.03</v>
      </c>
      <c r="AE11" s="9">
        <v>77.4</v>
      </c>
      <c r="AF11" s="6"/>
      <c r="AG11" s="6"/>
    </row>
    <row r="12">
      <c r="A12" s="7">
        <v>11.0</v>
      </c>
      <c r="B12" s="7">
        <v>4.0</v>
      </c>
      <c r="C12" s="8" t="s">
        <v>40</v>
      </c>
      <c r="D12" s="9">
        <v>28.99</v>
      </c>
      <c r="E12" s="9">
        <v>28.99</v>
      </c>
      <c r="F12" s="9">
        <v>19.97</v>
      </c>
      <c r="G12" s="9">
        <v>11.0</v>
      </c>
      <c r="H12" s="9">
        <v>140.0</v>
      </c>
      <c r="I12" s="10">
        <v>276.0</v>
      </c>
      <c r="J12" s="10">
        <v>19.02</v>
      </c>
      <c r="K12" s="11">
        <f t="shared" si="1"/>
        <v>-0.95</v>
      </c>
      <c r="L12" s="10">
        <v>78.02</v>
      </c>
      <c r="M12" s="10">
        <v>28.18</v>
      </c>
      <c r="N12" s="9">
        <v>423.0</v>
      </c>
      <c r="O12" s="10">
        <v>148.0</v>
      </c>
      <c r="P12" s="10">
        <v>28.71</v>
      </c>
      <c r="Q12" s="10">
        <v>74.77</v>
      </c>
      <c r="R12" s="10">
        <v>78.99</v>
      </c>
      <c r="S12" s="11">
        <f t="shared" si="2"/>
        <v>-3.25</v>
      </c>
      <c r="T12" s="9">
        <v>29.87</v>
      </c>
      <c r="U12" s="9">
        <v>77.14</v>
      </c>
      <c r="V12" s="9">
        <f t="shared" si="3"/>
        <v>-1.85</v>
      </c>
      <c r="W12" s="10">
        <v>85.0</v>
      </c>
      <c r="X12" s="9">
        <v>169.0</v>
      </c>
      <c r="Y12" s="9">
        <v>28.1</v>
      </c>
      <c r="Z12" s="9">
        <v>73.42</v>
      </c>
      <c r="AA12" s="9">
        <v>78.02</v>
      </c>
      <c r="AB12" s="12">
        <v>62.0</v>
      </c>
      <c r="AC12" s="9">
        <v>131.0</v>
      </c>
      <c r="AD12" s="9">
        <v>27.81</v>
      </c>
      <c r="AE12" s="9">
        <v>75.99</v>
      </c>
      <c r="AF12" s="6"/>
      <c r="AG12" s="13"/>
    </row>
    <row r="13">
      <c r="A13" s="7">
        <v>12.0</v>
      </c>
      <c r="B13" s="7">
        <v>1.0</v>
      </c>
      <c r="C13" s="8" t="s">
        <v>41</v>
      </c>
      <c r="D13" s="9">
        <v>27.23</v>
      </c>
      <c r="E13" s="9">
        <v>27.35</v>
      </c>
      <c r="F13" s="9">
        <v>18.75</v>
      </c>
      <c r="G13" s="9">
        <v>12.0</v>
      </c>
      <c r="H13" s="9">
        <v>66.0</v>
      </c>
      <c r="I13" s="10">
        <v>232.0</v>
      </c>
      <c r="J13" s="10">
        <v>17.62</v>
      </c>
      <c r="K13" s="11">
        <f t="shared" si="1"/>
        <v>-1.13</v>
      </c>
      <c r="L13" s="10">
        <v>72.32</v>
      </c>
      <c r="M13" s="10">
        <v>25.93</v>
      </c>
      <c r="N13" s="9">
        <v>371.0</v>
      </c>
      <c r="O13" s="10">
        <v>174.0</v>
      </c>
      <c r="P13" s="10">
        <v>26.37</v>
      </c>
      <c r="Q13" s="10">
        <v>69.57</v>
      </c>
      <c r="R13" s="10">
        <v>78.02</v>
      </c>
      <c r="S13" s="11">
        <f t="shared" si="2"/>
        <v>-2.75</v>
      </c>
      <c r="T13" s="9">
        <v>27.03</v>
      </c>
      <c r="U13" s="9">
        <v>72.01</v>
      </c>
      <c r="V13" s="9">
        <f t="shared" si="3"/>
        <v>-6.01</v>
      </c>
      <c r="W13" s="10">
        <v>162.0</v>
      </c>
      <c r="X13" s="9">
        <v>302.0</v>
      </c>
      <c r="Y13" s="9">
        <v>26.55</v>
      </c>
      <c r="Z13" s="9">
        <v>72.77</v>
      </c>
      <c r="AA13" s="9">
        <v>73.71</v>
      </c>
      <c r="AB13" s="12">
        <v>93.0</v>
      </c>
      <c r="AC13" s="9">
        <v>187.0</v>
      </c>
      <c r="AD13" s="9">
        <v>26.47</v>
      </c>
      <c r="AE13" s="9">
        <v>70.29</v>
      </c>
      <c r="AF13" s="6"/>
      <c r="AG13" s="6"/>
    </row>
    <row r="14">
      <c r="A14" s="7">
        <v>13.0</v>
      </c>
      <c r="B14" s="7">
        <v>2.0</v>
      </c>
      <c r="C14" s="8" t="s">
        <v>42</v>
      </c>
      <c r="D14" s="9">
        <v>27.1</v>
      </c>
      <c r="E14" s="9">
        <v>26.36</v>
      </c>
      <c r="F14" s="9">
        <v>18.53</v>
      </c>
      <c r="G14" s="9">
        <v>13.0</v>
      </c>
      <c r="H14" s="9">
        <v>177.0</v>
      </c>
      <c r="I14" s="10">
        <v>333.0</v>
      </c>
      <c r="J14" s="10">
        <v>14.97</v>
      </c>
      <c r="K14" s="11">
        <f t="shared" si="1"/>
        <v>-3.56</v>
      </c>
      <c r="L14" s="10">
        <v>74.24</v>
      </c>
      <c r="M14" s="10">
        <v>26.44</v>
      </c>
      <c r="N14" s="9">
        <v>489.0</v>
      </c>
      <c r="O14" s="10">
        <v>161.0</v>
      </c>
      <c r="P14" s="10">
        <v>27.43</v>
      </c>
      <c r="Q14" s="10">
        <v>72.55</v>
      </c>
      <c r="R14" s="10">
        <v>76.29</v>
      </c>
      <c r="S14" s="11">
        <f t="shared" si="2"/>
        <v>-1.69</v>
      </c>
      <c r="T14" s="9">
        <v>27.44</v>
      </c>
      <c r="U14" s="9">
        <v>74.82</v>
      </c>
      <c r="V14" s="9">
        <f t="shared" si="3"/>
        <v>-1.47</v>
      </c>
      <c r="W14" s="10">
        <v>129.0</v>
      </c>
      <c r="X14" s="9">
        <v>258.0</v>
      </c>
      <c r="Y14" s="9">
        <v>26.57</v>
      </c>
      <c r="Z14" s="9">
        <v>72.87</v>
      </c>
      <c r="AA14" s="9">
        <v>78.58</v>
      </c>
      <c r="AB14" s="12">
        <v>86.0</v>
      </c>
      <c r="AC14" s="9">
        <v>158.0</v>
      </c>
      <c r="AD14" s="9">
        <v>26.02</v>
      </c>
      <c r="AE14" s="9">
        <v>75.39</v>
      </c>
      <c r="AF14" s="6"/>
      <c r="AG14" s="6"/>
    </row>
    <row r="15">
      <c r="A15" s="7">
        <v>14.0</v>
      </c>
      <c r="B15" s="7">
        <v>3.0</v>
      </c>
      <c r="C15" s="8" t="s">
        <v>43</v>
      </c>
      <c r="D15" s="9">
        <v>25.37</v>
      </c>
      <c r="E15" s="9">
        <v>24.77</v>
      </c>
      <c r="F15" s="9">
        <v>18.16</v>
      </c>
      <c r="G15" s="9">
        <v>14.0</v>
      </c>
      <c r="H15" s="9">
        <v>68.0</v>
      </c>
      <c r="I15" s="10">
        <v>204.0</v>
      </c>
      <c r="J15" s="10">
        <v>16.18</v>
      </c>
      <c r="K15" s="11">
        <f t="shared" si="1"/>
        <v>-1.98</v>
      </c>
      <c r="L15" s="10">
        <v>74.97</v>
      </c>
      <c r="M15" s="10">
        <v>25.0</v>
      </c>
      <c r="N15" s="9">
        <v>405.0</v>
      </c>
      <c r="O15" s="10">
        <v>178.0</v>
      </c>
      <c r="P15" s="10">
        <v>25.57</v>
      </c>
      <c r="Q15" s="10">
        <v>73.79</v>
      </c>
      <c r="R15" s="10">
        <v>81.18</v>
      </c>
      <c r="S15" s="11">
        <f t="shared" si="2"/>
        <v>-1.18</v>
      </c>
      <c r="T15" s="9">
        <v>26.49</v>
      </c>
      <c r="U15" s="9">
        <v>77.16</v>
      </c>
      <c r="V15" s="9">
        <f t="shared" si="3"/>
        <v>-4.02</v>
      </c>
      <c r="W15" s="10">
        <v>146.0</v>
      </c>
      <c r="X15" s="9">
        <v>271.0</v>
      </c>
      <c r="Y15" s="9">
        <v>26.59</v>
      </c>
      <c r="Z15" s="9">
        <v>75.13</v>
      </c>
      <c r="AA15" s="9">
        <v>77.56</v>
      </c>
      <c r="AB15" s="12">
        <v>79.0</v>
      </c>
      <c r="AC15" s="9">
        <v>137.0</v>
      </c>
      <c r="AD15" s="9">
        <v>26.03</v>
      </c>
      <c r="AE15" s="9">
        <v>74.93</v>
      </c>
      <c r="AF15" s="6"/>
      <c r="AG15" s="6"/>
    </row>
    <row r="16">
      <c r="A16" s="7">
        <v>15.0</v>
      </c>
      <c r="B16" s="7">
        <v>5.0</v>
      </c>
      <c r="C16" s="8" t="s">
        <v>44</v>
      </c>
      <c r="D16" s="9">
        <v>26.19</v>
      </c>
      <c r="E16" s="9">
        <v>26.66</v>
      </c>
      <c r="F16" s="9">
        <v>19.99</v>
      </c>
      <c r="G16" s="9">
        <v>15.0</v>
      </c>
      <c r="H16" s="9">
        <v>172.0</v>
      </c>
      <c r="I16" s="10">
        <v>314.0</v>
      </c>
      <c r="J16" s="10">
        <v>17.62</v>
      </c>
      <c r="K16" s="11">
        <f t="shared" si="1"/>
        <v>-2.37</v>
      </c>
      <c r="L16" s="10">
        <v>77.68</v>
      </c>
      <c r="M16" s="10">
        <v>26.21</v>
      </c>
      <c r="N16" s="9">
        <v>443.0</v>
      </c>
      <c r="O16" s="10">
        <v>139.0</v>
      </c>
      <c r="P16" s="10">
        <v>26.48</v>
      </c>
      <c r="Q16" s="10">
        <v>74.79</v>
      </c>
      <c r="R16" s="10">
        <v>77.87</v>
      </c>
      <c r="S16" s="11">
        <f t="shared" si="2"/>
        <v>-2.89</v>
      </c>
      <c r="T16" s="9">
        <v>25.44</v>
      </c>
      <c r="U16" s="9">
        <v>75.66</v>
      </c>
      <c r="V16" s="9">
        <f t="shared" si="3"/>
        <v>-2.21</v>
      </c>
      <c r="W16" s="10">
        <v>95.0</v>
      </c>
      <c r="X16" s="9">
        <v>225.0</v>
      </c>
      <c r="Y16" s="9">
        <v>25.88</v>
      </c>
      <c r="Z16" s="9">
        <v>73.64</v>
      </c>
      <c r="AA16" s="9">
        <v>80.99</v>
      </c>
      <c r="AB16" s="12">
        <v>65.0</v>
      </c>
      <c r="AC16" s="9">
        <v>133.0</v>
      </c>
      <c r="AD16" s="9">
        <v>25.83</v>
      </c>
      <c r="AE16" s="9">
        <v>76.17</v>
      </c>
      <c r="AF16" s="6"/>
      <c r="AG16" s="6"/>
    </row>
    <row r="17">
      <c r="A17" s="7">
        <v>16.0</v>
      </c>
      <c r="B17" s="7">
        <v>4.0</v>
      </c>
      <c r="C17" s="8" t="s">
        <v>45</v>
      </c>
      <c r="D17" s="9">
        <v>29.24</v>
      </c>
      <c r="E17" s="9">
        <v>29.03</v>
      </c>
      <c r="F17" s="9">
        <v>18.85</v>
      </c>
      <c r="G17" s="9">
        <v>16.0</v>
      </c>
      <c r="H17" s="9">
        <v>221.0</v>
      </c>
      <c r="I17" s="10">
        <v>414.0</v>
      </c>
      <c r="J17" s="10">
        <v>18.31</v>
      </c>
      <c r="K17" s="11">
        <f t="shared" si="1"/>
        <v>-0.54</v>
      </c>
      <c r="L17" s="10">
        <v>73.77</v>
      </c>
      <c r="M17" s="10">
        <v>29.01</v>
      </c>
      <c r="N17" s="9">
        <v>579.0</v>
      </c>
      <c r="O17" s="10" t="s">
        <v>46</v>
      </c>
      <c r="P17" s="10">
        <v>28.99</v>
      </c>
      <c r="Q17" s="10">
        <v>72.45</v>
      </c>
      <c r="R17" s="10">
        <v>80.31</v>
      </c>
      <c r="S17" s="11">
        <f t="shared" si="2"/>
        <v>-1.32</v>
      </c>
      <c r="T17" s="9">
        <v>28.4</v>
      </c>
      <c r="U17" s="9">
        <v>76.84</v>
      </c>
      <c r="V17" s="9">
        <f t="shared" si="3"/>
        <v>-3.47</v>
      </c>
      <c r="W17" s="10">
        <v>150.0</v>
      </c>
      <c r="X17" s="9">
        <v>319.0</v>
      </c>
      <c r="Y17" s="9">
        <v>28.51</v>
      </c>
      <c r="Z17" s="9">
        <v>75.42</v>
      </c>
      <c r="AA17" s="9">
        <v>78.27</v>
      </c>
      <c r="AB17" s="12">
        <v>81.0</v>
      </c>
      <c r="AC17" s="9">
        <v>158.0</v>
      </c>
      <c r="AD17" s="9">
        <v>28.62</v>
      </c>
      <c r="AE17" s="9">
        <v>73.58</v>
      </c>
      <c r="AF17" s="6"/>
      <c r="AG17" s="6"/>
    </row>
    <row r="18">
      <c r="A18" s="7">
        <v>17.0</v>
      </c>
      <c r="B18" s="7">
        <v>2.0</v>
      </c>
      <c r="C18" s="8" t="s">
        <v>47</v>
      </c>
      <c r="D18" s="9">
        <v>25.47</v>
      </c>
      <c r="E18" s="9">
        <v>25.17</v>
      </c>
      <c r="F18" s="9">
        <v>21.13</v>
      </c>
      <c r="G18" s="9">
        <v>17.0</v>
      </c>
      <c r="H18" s="9">
        <v>201.0</v>
      </c>
      <c r="I18" s="10">
        <v>371.0</v>
      </c>
      <c r="J18" s="10">
        <v>20.26</v>
      </c>
      <c r="K18" s="11">
        <f t="shared" si="1"/>
        <v>-0.87</v>
      </c>
      <c r="L18" s="10">
        <v>75.46</v>
      </c>
      <c r="M18" s="10">
        <v>25.16</v>
      </c>
      <c r="N18" s="9">
        <v>534.0</v>
      </c>
      <c r="O18" s="10">
        <v>166.0</v>
      </c>
      <c r="P18" s="10">
        <v>25.02</v>
      </c>
      <c r="Q18" s="10">
        <v>72.47</v>
      </c>
      <c r="R18" s="10">
        <v>72.47</v>
      </c>
      <c r="S18" s="11">
        <f t="shared" si="2"/>
        <v>-2.99</v>
      </c>
      <c r="T18" s="9">
        <v>24.99</v>
      </c>
      <c r="U18" s="9">
        <v>71.18</v>
      </c>
      <c r="V18" s="9">
        <f t="shared" si="3"/>
        <v>-1.29</v>
      </c>
      <c r="W18" s="10">
        <v>164.0</v>
      </c>
      <c r="X18" s="9">
        <v>324.0</v>
      </c>
      <c r="Y18" s="9">
        <v>25.11</v>
      </c>
      <c r="Z18" s="9">
        <v>71.03</v>
      </c>
      <c r="AA18" s="9">
        <v>76.27</v>
      </c>
      <c r="AB18" s="12">
        <v>102.0</v>
      </c>
      <c r="AC18" s="9">
        <v>214.0</v>
      </c>
      <c r="AD18" s="9">
        <v>24.97</v>
      </c>
      <c r="AE18" s="9">
        <v>74.1</v>
      </c>
      <c r="AF18" s="6"/>
      <c r="AG18" s="6"/>
    </row>
    <row r="19">
      <c r="A19" s="7">
        <v>18.0</v>
      </c>
      <c r="B19" s="7">
        <v>5.0</v>
      </c>
      <c r="C19" s="8" t="s">
        <v>48</v>
      </c>
      <c r="D19" s="9">
        <v>27.16</v>
      </c>
      <c r="E19" s="9">
        <v>26.57</v>
      </c>
      <c r="F19" s="9">
        <v>20.32</v>
      </c>
      <c r="G19" s="9">
        <v>18.0</v>
      </c>
      <c r="H19" s="9">
        <v>140.0</v>
      </c>
      <c r="I19" s="10">
        <v>302.0</v>
      </c>
      <c r="J19" s="10">
        <v>19.01</v>
      </c>
      <c r="K19" s="11">
        <f t="shared" si="1"/>
        <v>-1.31</v>
      </c>
      <c r="L19" s="10">
        <v>73.16</v>
      </c>
      <c r="M19" s="10">
        <v>26.42</v>
      </c>
      <c r="N19" s="9">
        <v>444.0</v>
      </c>
      <c r="O19" s="10">
        <v>154.0</v>
      </c>
      <c r="P19" s="10">
        <v>27.36</v>
      </c>
      <c r="Q19" s="10">
        <v>72.51</v>
      </c>
      <c r="R19" s="10">
        <v>75.81</v>
      </c>
      <c r="S19" s="11">
        <f t="shared" si="2"/>
        <v>-0.65</v>
      </c>
      <c r="T19" s="9">
        <v>26.78</v>
      </c>
      <c r="U19" s="9">
        <v>70.01</v>
      </c>
      <c r="V19" s="9">
        <f t="shared" si="3"/>
        <v>-5.8</v>
      </c>
      <c r="W19" s="10">
        <v>161.0</v>
      </c>
      <c r="X19" s="9">
        <v>315.0</v>
      </c>
      <c r="Y19" s="9">
        <v>28.35</v>
      </c>
      <c r="Z19" s="9">
        <v>65.16</v>
      </c>
      <c r="AA19" s="9">
        <v>73.54</v>
      </c>
      <c r="AB19" s="12">
        <v>89.0</v>
      </c>
      <c r="AC19" s="9">
        <v>160.0</v>
      </c>
      <c r="AD19" s="9">
        <v>27.13</v>
      </c>
      <c r="AE19" s="9">
        <v>70.66</v>
      </c>
      <c r="AF19" s="6"/>
      <c r="AG19" s="6"/>
    </row>
    <row r="20">
      <c r="A20" s="7">
        <v>19.0</v>
      </c>
      <c r="B20" s="7">
        <v>1.0</v>
      </c>
      <c r="C20" s="8" t="s">
        <v>49</v>
      </c>
      <c r="D20" s="9">
        <v>27.97</v>
      </c>
      <c r="E20" s="9">
        <v>27.75</v>
      </c>
      <c r="F20" s="9">
        <v>19.37</v>
      </c>
      <c r="G20" s="9">
        <v>19.0</v>
      </c>
      <c r="H20" s="9">
        <v>120.0</v>
      </c>
      <c r="I20" s="10">
        <v>262.0</v>
      </c>
      <c r="J20" s="10">
        <v>18.31</v>
      </c>
      <c r="K20" s="11">
        <f t="shared" si="1"/>
        <v>-1.06</v>
      </c>
      <c r="L20" s="10">
        <v>77.32</v>
      </c>
      <c r="M20" s="10">
        <v>27.0</v>
      </c>
      <c r="N20" s="9">
        <v>415.0</v>
      </c>
      <c r="O20" s="10">
        <v>144.0</v>
      </c>
      <c r="P20" s="10">
        <v>27.64</v>
      </c>
      <c r="Q20" s="10">
        <v>75.34</v>
      </c>
      <c r="R20" s="10">
        <v>78.42</v>
      </c>
      <c r="S20" s="11">
        <f t="shared" si="2"/>
        <v>-1.98</v>
      </c>
      <c r="T20" s="9">
        <v>28.83</v>
      </c>
      <c r="U20" s="9">
        <v>75.01</v>
      </c>
      <c r="V20" s="9">
        <f t="shared" si="3"/>
        <v>-3.41</v>
      </c>
      <c r="W20" s="10">
        <v>152.0</v>
      </c>
      <c r="X20" s="9">
        <v>287.0</v>
      </c>
      <c r="Y20" s="9">
        <v>28.87</v>
      </c>
      <c r="Z20" s="9">
        <v>71.83</v>
      </c>
      <c r="AA20" s="9">
        <v>79.97</v>
      </c>
      <c r="AB20" s="12">
        <v>72.0</v>
      </c>
      <c r="AC20" s="9">
        <v>133.0</v>
      </c>
      <c r="AD20" s="9">
        <v>28.0</v>
      </c>
      <c r="AE20" s="9">
        <v>76.42</v>
      </c>
      <c r="AF20" s="6"/>
      <c r="AG20" s="6"/>
    </row>
    <row r="21">
      <c r="A21" s="7">
        <v>20.0</v>
      </c>
      <c r="B21" s="7">
        <v>3.0</v>
      </c>
      <c r="C21" s="8" t="s">
        <v>50</v>
      </c>
      <c r="D21" s="9">
        <v>27.03</v>
      </c>
      <c r="E21" s="9">
        <v>26.02</v>
      </c>
      <c r="F21" s="9">
        <v>18.28</v>
      </c>
      <c r="G21" s="9">
        <v>20.0</v>
      </c>
      <c r="H21" s="9">
        <v>181.0</v>
      </c>
      <c r="I21" s="10">
        <v>340.0</v>
      </c>
      <c r="J21" s="10">
        <v>18.03</v>
      </c>
      <c r="K21" s="11">
        <f t="shared" si="1"/>
        <v>-0.25</v>
      </c>
      <c r="L21" s="10">
        <v>72.97</v>
      </c>
      <c r="M21" s="10">
        <v>26.43</v>
      </c>
      <c r="N21" s="9">
        <v>509.0</v>
      </c>
      <c r="O21" s="10">
        <v>200.0</v>
      </c>
      <c r="P21" s="10">
        <v>26.76</v>
      </c>
      <c r="Q21" s="10">
        <v>72.79</v>
      </c>
      <c r="R21" s="10">
        <v>80.96</v>
      </c>
      <c r="S21" s="11">
        <f t="shared" si="2"/>
        <v>-0.18</v>
      </c>
      <c r="T21" s="9">
        <v>26.56</v>
      </c>
      <c r="U21" s="9">
        <v>78.75</v>
      </c>
      <c r="V21" s="9">
        <f t="shared" si="3"/>
        <v>-2.21</v>
      </c>
      <c r="W21" s="10">
        <v>143.0</v>
      </c>
      <c r="X21" s="9">
        <v>285.0</v>
      </c>
      <c r="Y21" s="9">
        <v>26.77</v>
      </c>
      <c r="Z21" s="9">
        <v>76.17</v>
      </c>
      <c r="AA21" s="9">
        <v>74.16</v>
      </c>
      <c r="AB21" s="12">
        <v>69.0</v>
      </c>
      <c r="AC21" s="9">
        <v>128.0</v>
      </c>
      <c r="AD21" s="9">
        <v>26.41</v>
      </c>
      <c r="AE21" s="9">
        <v>71.1</v>
      </c>
      <c r="AF21" s="6"/>
      <c r="AG21" s="6"/>
    </row>
    <row r="22">
      <c r="AF22" s="14"/>
      <c r="AG22" s="14"/>
    </row>
    <row r="23">
      <c r="AF23" s="14"/>
      <c r="AG23" s="14"/>
    </row>
    <row r="24">
      <c r="AF24" s="14"/>
      <c r="AG24" s="14"/>
    </row>
    <row r="25">
      <c r="AF25" s="14"/>
      <c r="AG25" s="14"/>
    </row>
    <row r="26">
      <c r="AF26" s="14"/>
      <c r="AG26" s="14"/>
    </row>
    <row r="27">
      <c r="AF27" s="14"/>
      <c r="AG27" s="14"/>
    </row>
    <row r="28">
      <c r="AF28" s="14"/>
      <c r="AG28" s="14"/>
    </row>
    <row r="29">
      <c r="AF29" s="14"/>
      <c r="AG29" s="14"/>
    </row>
    <row r="30">
      <c r="AF30" s="14"/>
      <c r="AG30" s="14"/>
    </row>
    <row r="31">
      <c r="AF31" s="14"/>
      <c r="AG31" s="14"/>
    </row>
    <row r="32">
      <c r="AF32" s="14"/>
      <c r="AG32" s="14"/>
    </row>
    <row r="33">
      <c r="AF33" s="14"/>
      <c r="AG33" s="14"/>
    </row>
    <row r="34">
      <c r="AF34" s="14"/>
      <c r="AG34" s="14"/>
    </row>
    <row r="35">
      <c r="AF35" s="14"/>
      <c r="AG35" s="14"/>
    </row>
    <row r="36">
      <c r="AF36" s="14"/>
      <c r="AG36" s="14"/>
    </row>
    <row r="37">
      <c r="AF37" s="14"/>
      <c r="AG37" s="14"/>
    </row>
    <row r="38">
      <c r="AF38" s="14"/>
      <c r="AG38" s="14"/>
    </row>
    <row r="39">
      <c r="AF39" s="14"/>
      <c r="AG39" s="14"/>
    </row>
    <row r="40">
      <c r="AF40" s="14"/>
      <c r="AG40" s="14"/>
    </row>
    <row r="41">
      <c r="AF41" s="14"/>
      <c r="AG41" s="14"/>
    </row>
    <row r="42">
      <c r="AF42" s="14"/>
      <c r="AG42" s="14"/>
    </row>
    <row r="43">
      <c r="AF43" s="14"/>
      <c r="AG43" s="14"/>
    </row>
    <row r="44">
      <c r="AF44" s="14"/>
      <c r="AG44" s="14"/>
    </row>
    <row r="45">
      <c r="AF45" s="14"/>
      <c r="AG45" s="14"/>
    </row>
    <row r="46">
      <c r="AF46" s="14"/>
      <c r="AG46" s="14"/>
    </row>
    <row r="47">
      <c r="AF47" s="14"/>
      <c r="AG47" s="14"/>
    </row>
    <row r="48">
      <c r="AF48" s="14"/>
      <c r="AG48" s="14"/>
    </row>
    <row r="49">
      <c r="AF49" s="14"/>
      <c r="AG49" s="14"/>
    </row>
    <row r="50">
      <c r="AF50" s="14"/>
      <c r="AG50" s="14"/>
    </row>
    <row r="51">
      <c r="AF51" s="14"/>
      <c r="AG51" s="14"/>
    </row>
    <row r="52">
      <c r="AF52" s="14"/>
      <c r="AG52" s="14"/>
    </row>
    <row r="53">
      <c r="AF53" s="14"/>
      <c r="AG53" s="14"/>
    </row>
    <row r="54">
      <c r="AF54" s="14"/>
      <c r="AG54" s="14"/>
    </row>
    <row r="55">
      <c r="AF55" s="14"/>
      <c r="AG55" s="14"/>
    </row>
    <row r="56">
      <c r="AF56" s="14"/>
      <c r="AG56" s="14"/>
    </row>
    <row r="57">
      <c r="AF57" s="14"/>
      <c r="AG57" s="14"/>
    </row>
    <row r="58">
      <c r="AF58" s="14"/>
      <c r="AG58" s="14"/>
    </row>
    <row r="59">
      <c r="AF59" s="14"/>
      <c r="AG59" s="14"/>
    </row>
    <row r="60">
      <c r="AF60" s="14"/>
      <c r="AG60" s="14"/>
    </row>
    <row r="61">
      <c r="AF61" s="14"/>
      <c r="AG61" s="14"/>
    </row>
    <row r="62">
      <c r="AF62" s="14"/>
      <c r="AG62" s="14"/>
    </row>
    <row r="63">
      <c r="AF63" s="14"/>
      <c r="AG63" s="14"/>
    </row>
    <row r="64">
      <c r="AF64" s="14"/>
      <c r="AG64" s="14"/>
    </row>
    <row r="65">
      <c r="AF65" s="14"/>
      <c r="AG65" s="14"/>
    </row>
    <row r="66">
      <c r="AF66" s="14"/>
      <c r="AG66" s="14"/>
    </row>
    <row r="67">
      <c r="AF67" s="14"/>
      <c r="AG67" s="14"/>
    </row>
    <row r="68">
      <c r="AF68" s="14"/>
      <c r="AG68" s="14"/>
    </row>
    <row r="69">
      <c r="AF69" s="14"/>
      <c r="AG69" s="14"/>
    </row>
    <row r="70">
      <c r="AF70" s="14"/>
      <c r="AG70" s="14"/>
    </row>
    <row r="71">
      <c r="AF71" s="14"/>
      <c r="AG71" s="14"/>
    </row>
    <row r="72">
      <c r="AF72" s="14"/>
      <c r="AG72" s="14"/>
    </row>
    <row r="73">
      <c r="AF73" s="14"/>
      <c r="AG73" s="14"/>
    </row>
    <row r="74">
      <c r="AF74" s="14"/>
      <c r="AG74" s="14"/>
    </row>
    <row r="75">
      <c r="AF75" s="14"/>
      <c r="AG75" s="14"/>
    </row>
    <row r="76">
      <c r="AF76" s="14"/>
      <c r="AG76" s="14"/>
    </row>
    <row r="77">
      <c r="AF77" s="14"/>
      <c r="AG77" s="14"/>
    </row>
    <row r="78">
      <c r="AF78" s="14"/>
      <c r="AG78" s="14"/>
    </row>
    <row r="79">
      <c r="AF79" s="14"/>
      <c r="AG79" s="14"/>
    </row>
    <row r="80">
      <c r="AF80" s="14"/>
      <c r="AG80" s="14"/>
    </row>
    <row r="81">
      <c r="AF81" s="14"/>
      <c r="AG81" s="14"/>
    </row>
    <row r="82">
      <c r="AF82" s="14"/>
      <c r="AG82" s="14"/>
    </row>
    <row r="83">
      <c r="AF83" s="14"/>
      <c r="AG83" s="14"/>
    </row>
    <row r="84">
      <c r="AF84" s="14"/>
      <c r="AG84" s="14"/>
    </row>
    <row r="85">
      <c r="AF85" s="14"/>
      <c r="AG85" s="14"/>
    </row>
    <row r="86">
      <c r="AF86" s="14"/>
      <c r="AG86" s="14"/>
    </row>
    <row r="87">
      <c r="AF87" s="14"/>
      <c r="AG87" s="14"/>
    </row>
    <row r="88">
      <c r="AF88" s="14"/>
      <c r="AG88" s="14"/>
    </row>
    <row r="89">
      <c r="AF89" s="14"/>
      <c r="AG89" s="14"/>
    </row>
    <row r="90">
      <c r="AF90" s="14"/>
      <c r="AG90" s="14"/>
    </row>
    <row r="91">
      <c r="AF91" s="14"/>
      <c r="AG91" s="14"/>
    </row>
    <row r="92">
      <c r="AF92" s="14"/>
      <c r="AG92" s="14"/>
    </row>
    <row r="93">
      <c r="AF93" s="14"/>
      <c r="AG93" s="14"/>
    </row>
    <row r="94">
      <c r="AF94" s="14"/>
      <c r="AG94" s="14"/>
    </row>
    <row r="95">
      <c r="AF95" s="14"/>
      <c r="AG95" s="14"/>
    </row>
    <row r="96">
      <c r="AF96" s="14"/>
      <c r="AG96" s="14"/>
    </row>
    <row r="97">
      <c r="AF97" s="14"/>
      <c r="AG97" s="14"/>
    </row>
    <row r="98">
      <c r="AF98" s="14"/>
      <c r="AG98" s="14"/>
    </row>
    <row r="99">
      <c r="AF99" s="14"/>
      <c r="AG99" s="14"/>
    </row>
    <row r="100">
      <c r="AF100" s="14"/>
      <c r="AG100" s="14"/>
    </row>
    <row r="101">
      <c r="AF101" s="14"/>
      <c r="AG101" s="14"/>
    </row>
    <row r="102">
      <c r="AF102" s="14"/>
      <c r="AG102" s="14"/>
    </row>
    <row r="103">
      <c r="AF103" s="14"/>
      <c r="AG103" s="14"/>
    </row>
    <row r="104">
      <c r="AF104" s="14"/>
      <c r="AG104" s="14"/>
    </row>
    <row r="105">
      <c r="AF105" s="14"/>
      <c r="AG105" s="14"/>
    </row>
    <row r="106">
      <c r="AF106" s="14"/>
      <c r="AG106" s="14"/>
    </row>
    <row r="107">
      <c r="AF107" s="14"/>
      <c r="AG107" s="14"/>
    </row>
    <row r="108">
      <c r="AF108" s="14"/>
      <c r="AG108" s="14"/>
    </row>
    <row r="109">
      <c r="AF109" s="14"/>
      <c r="AG109" s="14"/>
    </row>
    <row r="110">
      <c r="AF110" s="14"/>
      <c r="AG110" s="14"/>
    </row>
    <row r="111">
      <c r="AF111" s="14"/>
      <c r="AG111" s="14"/>
    </row>
    <row r="112">
      <c r="AF112" s="14"/>
      <c r="AG112" s="14"/>
    </row>
    <row r="113">
      <c r="AF113" s="14"/>
      <c r="AG113" s="14"/>
    </row>
    <row r="114">
      <c r="AF114" s="14"/>
      <c r="AG114" s="14"/>
    </row>
    <row r="115">
      <c r="AF115" s="14"/>
      <c r="AG115" s="14"/>
    </row>
    <row r="116">
      <c r="AF116" s="14"/>
      <c r="AG116" s="14"/>
    </row>
    <row r="117">
      <c r="AF117" s="14"/>
      <c r="AG117" s="14"/>
    </row>
    <row r="118">
      <c r="AF118" s="14"/>
      <c r="AG118" s="14"/>
    </row>
    <row r="119">
      <c r="AF119" s="14"/>
      <c r="AG119" s="14"/>
    </row>
    <row r="120">
      <c r="AF120" s="14"/>
      <c r="AG120" s="14"/>
    </row>
    <row r="121">
      <c r="AF121" s="14"/>
      <c r="AG121" s="14"/>
    </row>
    <row r="122">
      <c r="AF122" s="14"/>
      <c r="AG122" s="14"/>
    </row>
    <row r="123">
      <c r="AF123" s="14"/>
      <c r="AG123" s="14"/>
    </row>
    <row r="124">
      <c r="AF124" s="14"/>
      <c r="AG124" s="14"/>
    </row>
    <row r="125">
      <c r="AF125" s="14"/>
      <c r="AG125" s="14"/>
    </row>
    <row r="126">
      <c r="AF126" s="14"/>
      <c r="AG126" s="14"/>
    </row>
    <row r="127">
      <c r="AF127" s="14"/>
      <c r="AG127" s="14"/>
    </row>
    <row r="128">
      <c r="AF128" s="14"/>
      <c r="AG128" s="14"/>
    </row>
    <row r="129">
      <c r="AF129" s="14"/>
      <c r="AG129" s="14"/>
    </row>
    <row r="130">
      <c r="AF130" s="14"/>
      <c r="AG130" s="14"/>
    </row>
    <row r="131">
      <c r="AF131" s="14"/>
      <c r="AG131" s="14"/>
    </row>
    <row r="132">
      <c r="AF132" s="14"/>
      <c r="AG132" s="14"/>
    </row>
    <row r="133">
      <c r="AF133" s="14"/>
      <c r="AG133" s="14"/>
    </row>
    <row r="134">
      <c r="AF134" s="14"/>
      <c r="AG134" s="14"/>
    </row>
    <row r="135">
      <c r="AF135" s="14"/>
      <c r="AG135" s="14"/>
    </row>
    <row r="136">
      <c r="AF136" s="14"/>
      <c r="AG136" s="14"/>
    </row>
    <row r="137">
      <c r="AF137" s="14"/>
      <c r="AG137" s="14"/>
    </row>
    <row r="138">
      <c r="AF138" s="14"/>
      <c r="AG138" s="14"/>
    </row>
    <row r="139">
      <c r="AF139" s="14"/>
      <c r="AG139" s="14"/>
    </row>
    <row r="140">
      <c r="AF140" s="14"/>
      <c r="AG140" s="14"/>
    </row>
    <row r="141">
      <c r="AF141" s="14"/>
      <c r="AG141" s="14"/>
    </row>
    <row r="142">
      <c r="AF142" s="14"/>
      <c r="AG142" s="14"/>
    </row>
    <row r="143">
      <c r="AF143" s="14"/>
      <c r="AG143" s="14"/>
    </row>
    <row r="144">
      <c r="AF144" s="14"/>
      <c r="AG144" s="14"/>
    </row>
    <row r="145">
      <c r="AF145" s="14"/>
      <c r="AG145" s="14"/>
    </row>
    <row r="146">
      <c r="AF146" s="14"/>
      <c r="AG146" s="14"/>
    </row>
    <row r="147">
      <c r="AF147" s="14"/>
      <c r="AG147" s="14"/>
    </row>
    <row r="148">
      <c r="AF148" s="14"/>
      <c r="AG148" s="14"/>
    </row>
    <row r="149">
      <c r="AF149" s="14"/>
      <c r="AG149" s="14"/>
    </row>
    <row r="150">
      <c r="AF150" s="14"/>
      <c r="AG150" s="14"/>
    </row>
    <row r="151">
      <c r="AF151" s="14"/>
      <c r="AG151" s="14"/>
    </row>
    <row r="152">
      <c r="AF152" s="14"/>
      <c r="AG152" s="14"/>
    </row>
    <row r="153">
      <c r="AF153" s="14"/>
      <c r="AG153" s="14"/>
    </row>
    <row r="154">
      <c r="AF154" s="14"/>
      <c r="AG154" s="14"/>
    </row>
    <row r="155">
      <c r="AF155" s="14"/>
      <c r="AG155" s="14"/>
    </row>
    <row r="156">
      <c r="AF156" s="14"/>
      <c r="AG156" s="14"/>
    </row>
    <row r="157">
      <c r="AF157" s="14"/>
      <c r="AG157" s="14"/>
    </row>
    <row r="158">
      <c r="AF158" s="14"/>
      <c r="AG158" s="14"/>
    </row>
    <row r="159">
      <c r="AF159" s="14"/>
      <c r="AG159" s="14"/>
    </row>
    <row r="160">
      <c r="AF160" s="14"/>
      <c r="AG160" s="14"/>
    </row>
    <row r="161">
      <c r="AF161" s="14"/>
      <c r="AG161" s="14"/>
    </row>
    <row r="162">
      <c r="AF162" s="14"/>
      <c r="AG162" s="14"/>
    </row>
    <row r="163">
      <c r="AF163" s="14"/>
      <c r="AG163" s="14"/>
    </row>
    <row r="164">
      <c r="AF164" s="14"/>
      <c r="AG164" s="14"/>
    </row>
    <row r="165">
      <c r="AF165" s="14"/>
      <c r="AG165" s="14"/>
    </row>
    <row r="166">
      <c r="AF166" s="14"/>
      <c r="AG166" s="14"/>
    </row>
    <row r="167">
      <c r="AF167" s="14"/>
      <c r="AG167" s="14"/>
    </row>
    <row r="168">
      <c r="AF168" s="14"/>
      <c r="AG168" s="14"/>
    </row>
    <row r="169">
      <c r="AF169" s="14"/>
      <c r="AG169" s="14"/>
    </row>
    <row r="170">
      <c r="AF170" s="14"/>
      <c r="AG170" s="14"/>
    </row>
    <row r="171">
      <c r="AF171" s="14"/>
      <c r="AG171" s="14"/>
    </row>
    <row r="172">
      <c r="AF172" s="14"/>
      <c r="AG172" s="14"/>
    </row>
    <row r="173">
      <c r="AF173" s="14"/>
      <c r="AG173" s="14"/>
    </row>
    <row r="174">
      <c r="AF174" s="14"/>
      <c r="AG174" s="14"/>
    </row>
    <row r="175">
      <c r="AF175" s="14"/>
      <c r="AG175" s="14"/>
    </row>
    <row r="176">
      <c r="AF176" s="14"/>
      <c r="AG176" s="14"/>
    </row>
    <row r="177">
      <c r="AF177" s="14"/>
      <c r="AG177" s="14"/>
    </row>
    <row r="178">
      <c r="AF178" s="14"/>
      <c r="AG178" s="14"/>
    </row>
    <row r="179">
      <c r="AF179" s="14"/>
      <c r="AG179" s="14"/>
    </row>
    <row r="180">
      <c r="AF180" s="14"/>
      <c r="AG180" s="14"/>
    </row>
    <row r="181">
      <c r="AF181" s="14"/>
      <c r="AG181" s="14"/>
    </row>
    <row r="182">
      <c r="AF182" s="14"/>
      <c r="AG182" s="14"/>
    </row>
    <row r="183">
      <c r="AF183" s="14"/>
      <c r="AG183" s="14"/>
    </row>
    <row r="184">
      <c r="AF184" s="14"/>
      <c r="AG184" s="14"/>
    </row>
    <row r="185">
      <c r="AF185" s="14"/>
      <c r="AG185" s="14"/>
    </row>
    <row r="186">
      <c r="AF186" s="14"/>
      <c r="AG186" s="14"/>
    </row>
    <row r="187">
      <c r="AF187" s="14"/>
      <c r="AG187" s="14"/>
    </row>
    <row r="188">
      <c r="AF188" s="14"/>
      <c r="AG188" s="14"/>
    </row>
    <row r="189">
      <c r="AF189" s="14"/>
      <c r="AG189" s="14"/>
    </row>
    <row r="190">
      <c r="AF190" s="14"/>
      <c r="AG190" s="14"/>
    </row>
    <row r="191">
      <c r="AF191" s="14"/>
      <c r="AG191" s="14"/>
    </row>
    <row r="192">
      <c r="AF192" s="14"/>
      <c r="AG192" s="14"/>
    </row>
    <row r="193">
      <c r="AF193" s="14"/>
      <c r="AG193" s="14"/>
    </row>
    <row r="194">
      <c r="AF194" s="14"/>
      <c r="AG194" s="14"/>
    </row>
    <row r="195">
      <c r="AF195" s="14"/>
      <c r="AG195" s="14"/>
    </row>
    <row r="196">
      <c r="AF196" s="14"/>
      <c r="AG196" s="14"/>
    </row>
    <row r="197">
      <c r="AF197" s="14"/>
      <c r="AG197" s="14"/>
    </row>
    <row r="198">
      <c r="AF198" s="14"/>
      <c r="AG198" s="14"/>
    </row>
    <row r="199">
      <c r="AF199" s="14"/>
      <c r="AG199" s="14"/>
    </row>
    <row r="200">
      <c r="AF200" s="14"/>
      <c r="AG200" s="14"/>
    </row>
    <row r="201">
      <c r="AF201" s="14"/>
      <c r="AG201" s="14"/>
    </row>
    <row r="202">
      <c r="AF202" s="14"/>
      <c r="AG202" s="14"/>
    </row>
    <row r="203">
      <c r="AF203" s="14"/>
      <c r="AG203" s="14"/>
    </row>
    <row r="204">
      <c r="AF204" s="14"/>
      <c r="AG204" s="14"/>
    </row>
    <row r="205">
      <c r="AF205" s="14"/>
      <c r="AG205" s="14"/>
    </row>
    <row r="206">
      <c r="AF206" s="14"/>
      <c r="AG206" s="14"/>
    </row>
    <row r="207">
      <c r="AF207" s="14"/>
      <c r="AG207" s="14"/>
    </row>
    <row r="208">
      <c r="AF208" s="14"/>
      <c r="AG208" s="14"/>
    </row>
    <row r="209">
      <c r="AF209" s="14"/>
      <c r="AG209" s="14"/>
    </row>
    <row r="210">
      <c r="AF210" s="14"/>
      <c r="AG210" s="14"/>
    </row>
    <row r="211">
      <c r="AF211" s="14"/>
      <c r="AG211" s="14"/>
    </row>
    <row r="212">
      <c r="AF212" s="14"/>
      <c r="AG212" s="14"/>
    </row>
    <row r="213">
      <c r="AF213" s="14"/>
      <c r="AG213" s="14"/>
    </row>
    <row r="214">
      <c r="AF214" s="14"/>
      <c r="AG214" s="14"/>
    </row>
    <row r="215">
      <c r="AF215" s="14"/>
      <c r="AG215" s="14"/>
    </row>
    <row r="216">
      <c r="AF216" s="14"/>
      <c r="AG216" s="14"/>
    </row>
    <row r="217">
      <c r="AF217" s="14"/>
      <c r="AG217" s="14"/>
    </row>
    <row r="218">
      <c r="AF218" s="14"/>
      <c r="AG218" s="14"/>
    </row>
    <row r="219">
      <c r="AF219" s="14"/>
      <c r="AG219" s="14"/>
    </row>
    <row r="220">
      <c r="AF220" s="14"/>
      <c r="AG220" s="14"/>
    </row>
    <row r="221">
      <c r="AF221" s="14"/>
      <c r="AG221" s="14"/>
    </row>
    <row r="222">
      <c r="AF222" s="14"/>
      <c r="AG222" s="14"/>
    </row>
    <row r="223">
      <c r="AF223" s="14"/>
      <c r="AG223" s="14"/>
    </row>
    <row r="224">
      <c r="AF224" s="14"/>
      <c r="AG224" s="14"/>
    </row>
    <row r="225">
      <c r="AF225" s="14"/>
      <c r="AG225" s="14"/>
    </row>
    <row r="226">
      <c r="AF226" s="14"/>
      <c r="AG226" s="14"/>
    </row>
    <row r="227">
      <c r="AF227" s="14"/>
      <c r="AG227" s="14"/>
    </row>
    <row r="228">
      <c r="AF228" s="14"/>
      <c r="AG228" s="14"/>
    </row>
    <row r="229">
      <c r="AF229" s="14"/>
      <c r="AG229" s="14"/>
    </row>
    <row r="230">
      <c r="AF230" s="14"/>
      <c r="AG230" s="14"/>
    </row>
    <row r="231">
      <c r="AF231" s="14"/>
      <c r="AG231" s="14"/>
    </row>
    <row r="232">
      <c r="AF232" s="14"/>
      <c r="AG232" s="14"/>
    </row>
    <row r="233">
      <c r="AF233" s="14"/>
      <c r="AG233" s="14"/>
    </row>
    <row r="234">
      <c r="AF234" s="14"/>
      <c r="AG234" s="14"/>
    </row>
    <row r="235">
      <c r="AF235" s="14"/>
      <c r="AG235" s="14"/>
    </row>
    <row r="236">
      <c r="AF236" s="14"/>
      <c r="AG236" s="14"/>
    </row>
    <row r="237">
      <c r="AF237" s="14"/>
      <c r="AG237" s="14"/>
    </row>
    <row r="238">
      <c r="AF238" s="14"/>
      <c r="AG238" s="14"/>
    </row>
    <row r="239">
      <c r="AF239" s="14"/>
      <c r="AG239" s="14"/>
    </row>
    <row r="240">
      <c r="AF240" s="14"/>
      <c r="AG240" s="14"/>
    </row>
    <row r="241">
      <c r="AF241" s="14"/>
      <c r="AG241" s="14"/>
    </row>
    <row r="242">
      <c r="AF242" s="14"/>
      <c r="AG242" s="14"/>
    </row>
    <row r="243">
      <c r="AF243" s="14"/>
      <c r="AG243" s="14"/>
    </row>
    <row r="244">
      <c r="AF244" s="14"/>
      <c r="AG244" s="14"/>
    </row>
    <row r="245">
      <c r="AF245" s="14"/>
      <c r="AG245" s="14"/>
    </row>
    <row r="246">
      <c r="AF246" s="14"/>
      <c r="AG246" s="14"/>
    </row>
    <row r="247">
      <c r="AF247" s="14"/>
      <c r="AG247" s="14"/>
    </row>
    <row r="248">
      <c r="AF248" s="14"/>
      <c r="AG248" s="14"/>
    </row>
    <row r="249">
      <c r="AF249" s="14"/>
      <c r="AG249" s="14"/>
    </row>
    <row r="250">
      <c r="AF250" s="14"/>
      <c r="AG250" s="14"/>
    </row>
    <row r="251">
      <c r="AF251" s="14"/>
      <c r="AG251" s="14"/>
    </row>
    <row r="252">
      <c r="AF252" s="14"/>
      <c r="AG252" s="14"/>
    </row>
    <row r="253">
      <c r="AF253" s="14"/>
      <c r="AG253" s="14"/>
    </row>
    <row r="254">
      <c r="AF254" s="14"/>
      <c r="AG254" s="14"/>
    </row>
    <row r="255">
      <c r="AF255" s="14"/>
      <c r="AG255" s="14"/>
    </row>
    <row r="256">
      <c r="AF256" s="14"/>
      <c r="AG256" s="14"/>
    </row>
    <row r="257">
      <c r="AF257" s="14"/>
      <c r="AG257" s="14"/>
    </row>
    <row r="258">
      <c r="AF258" s="14"/>
      <c r="AG258" s="14"/>
    </row>
    <row r="259">
      <c r="AF259" s="14"/>
      <c r="AG259" s="14"/>
    </row>
    <row r="260">
      <c r="AF260" s="14"/>
      <c r="AG260" s="14"/>
    </row>
    <row r="261">
      <c r="AF261" s="14"/>
      <c r="AG261" s="14"/>
    </row>
    <row r="262">
      <c r="AF262" s="14"/>
      <c r="AG262" s="14"/>
    </row>
    <row r="263">
      <c r="AF263" s="14"/>
      <c r="AG263" s="14"/>
    </row>
    <row r="264">
      <c r="AF264" s="14"/>
      <c r="AG264" s="14"/>
    </row>
    <row r="265">
      <c r="AF265" s="14"/>
      <c r="AG265" s="14"/>
    </row>
    <row r="266">
      <c r="AF266" s="14"/>
      <c r="AG266" s="14"/>
    </row>
    <row r="267">
      <c r="AF267" s="14"/>
      <c r="AG267" s="14"/>
    </row>
    <row r="268">
      <c r="AF268" s="14"/>
      <c r="AG268" s="14"/>
    </row>
    <row r="269">
      <c r="AF269" s="14"/>
      <c r="AG269" s="14"/>
    </row>
    <row r="270">
      <c r="AF270" s="14"/>
      <c r="AG270" s="14"/>
    </row>
    <row r="271">
      <c r="AF271" s="14"/>
      <c r="AG271" s="14"/>
    </row>
    <row r="272">
      <c r="AF272" s="14"/>
      <c r="AG272" s="14"/>
    </row>
    <row r="273">
      <c r="AF273" s="14"/>
      <c r="AG273" s="14"/>
    </row>
    <row r="274">
      <c r="AF274" s="14"/>
      <c r="AG274" s="14"/>
    </row>
    <row r="275">
      <c r="AF275" s="14"/>
      <c r="AG275" s="14"/>
    </row>
    <row r="276">
      <c r="AF276" s="14"/>
      <c r="AG276" s="14"/>
    </row>
    <row r="277">
      <c r="AF277" s="14"/>
      <c r="AG277" s="14"/>
    </row>
    <row r="278">
      <c r="AF278" s="14"/>
      <c r="AG278" s="14"/>
    </row>
    <row r="279">
      <c r="AF279" s="14"/>
      <c r="AG279" s="14"/>
    </row>
    <row r="280">
      <c r="AF280" s="14"/>
      <c r="AG280" s="14"/>
    </row>
    <row r="281">
      <c r="AF281" s="14"/>
      <c r="AG281" s="14"/>
    </row>
    <row r="282">
      <c r="AF282" s="14"/>
      <c r="AG282" s="14"/>
    </row>
    <row r="283">
      <c r="AF283" s="14"/>
      <c r="AG283" s="14"/>
    </row>
    <row r="284">
      <c r="AF284" s="14"/>
      <c r="AG284" s="14"/>
    </row>
    <row r="285">
      <c r="AF285" s="14"/>
      <c r="AG285" s="14"/>
    </row>
    <row r="286">
      <c r="AF286" s="14"/>
      <c r="AG286" s="14"/>
    </row>
    <row r="287">
      <c r="AF287" s="14"/>
      <c r="AG287" s="14"/>
    </row>
    <row r="288">
      <c r="AF288" s="14"/>
      <c r="AG288" s="14"/>
    </row>
    <row r="289">
      <c r="AF289" s="14"/>
      <c r="AG289" s="14"/>
    </row>
    <row r="290">
      <c r="AF290" s="14"/>
      <c r="AG290" s="14"/>
    </row>
    <row r="291">
      <c r="AF291" s="14"/>
      <c r="AG291" s="14"/>
    </row>
    <row r="292">
      <c r="AF292" s="14"/>
      <c r="AG292" s="14"/>
    </row>
    <row r="293">
      <c r="AF293" s="14"/>
      <c r="AG293" s="14"/>
    </row>
    <row r="294">
      <c r="AF294" s="14"/>
      <c r="AG294" s="14"/>
    </row>
    <row r="295">
      <c r="AF295" s="14"/>
      <c r="AG295" s="14"/>
    </row>
    <row r="296">
      <c r="AF296" s="14"/>
      <c r="AG296" s="14"/>
    </row>
    <row r="297">
      <c r="AF297" s="14"/>
      <c r="AG297" s="14"/>
    </row>
    <row r="298">
      <c r="AF298" s="14"/>
      <c r="AG298" s="14"/>
    </row>
    <row r="299">
      <c r="AF299" s="14"/>
      <c r="AG299" s="14"/>
    </row>
    <row r="300">
      <c r="AF300" s="14"/>
      <c r="AG300" s="14"/>
    </row>
    <row r="301">
      <c r="AF301" s="14"/>
      <c r="AG301" s="14"/>
    </row>
    <row r="302">
      <c r="AF302" s="14"/>
      <c r="AG302" s="14"/>
    </row>
    <row r="303">
      <c r="AF303" s="14"/>
      <c r="AG303" s="14"/>
    </row>
    <row r="304">
      <c r="AF304" s="14"/>
      <c r="AG304" s="14"/>
    </row>
    <row r="305">
      <c r="AF305" s="14"/>
      <c r="AG305" s="14"/>
    </row>
    <row r="306">
      <c r="AF306" s="14"/>
      <c r="AG306" s="14"/>
    </row>
    <row r="307">
      <c r="AF307" s="14"/>
      <c r="AG307" s="14"/>
    </row>
    <row r="308">
      <c r="AF308" s="14"/>
      <c r="AG308" s="14"/>
    </row>
    <row r="309">
      <c r="AF309" s="14"/>
      <c r="AG309" s="14"/>
    </row>
    <row r="310">
      <c r="AF310" s="14"/>
      <c r="AG310" s="14"/>
    </row>
    <row r="311">
      <c r="AF311" s="14"/>
      <c r="AG311" s="14"/>
    </row>
    <row r="312">
      <c r="AF312" s="14"/>
      <c r="AG312" s="14"/>
    </row>
    <row r="313">
      <c r="AF313" s="14"/>
      <c r="AG313" s="14"/>
    </row>
    <row r="314">
      <c r="AF314" s="14"/>
      <c r="AG314" s="14"/>
    </row>
    <row r="315">
      <c r="AF315" s="14"/>
      <c r="AG315" s="14"/>
    </row>
    <row r="316">
      <c r="AF316" s="14"/>
      <c r="AG316" s="14"/>
    </row>
    <row r="317">
      <c r="AF317" s="14"/>
      <c r="AG317" s="14"/>
    </row>
    <row r="318">
      <c r="AF318" s="14"/>
      <c r="AG318" s="14"/>
    </row>
    <row r="319">
      <c r="AF319" s="14"/>
      <c r="AG319" s="14"/>
    </row>
    <row r="320">
      <c r="AF320" s="14"/>
      <c r="AG320" s="14"/>
    </row>
    <row r="321">
      <c r="AF321" s="14"/>
      <c r="AG321" s="14"/>
    </row>
    <row r="322">
      <c r="AF322" s="14"/>
      <c r="AG322" s="14"/>
    </row>
    <row r="323">
      <c r="AF323" s="14"/>
      <c r="AG323" s="14"/>
    </row>
    <row r="324">
      <c r="AF324" s="14"/>
      <c r="AG324" s="14"/>
    </row>
    <row r="325">
      <c r="AF325" s="14"/>
      <c r="AG325" s="14"/>
    </row>
    <row r="326">
      <c r="AF326" s="14"/>
      <c r="AG326" s="14"/>
    </row>
    <row r="327">
      <c r="AF327" s="14"/>
      <c r="AG327" s="14"/>
    </row>
    <row r="328">
      <c r="AF328" s="14"/>
      <c r="AG328" s="14"/>
    </row>
    <row r="329">
      <c r="AF329" s="14"/>
      <c r="AG329" s="14"/>
    </row>
    <row r="330">
      <c r="AF330" s="14"/>
      <c r="AG330" s="14"/>
    </row>
    <row r="331">
      <c r="AF331" s="14"/>
      <c r="AG331" s="14"/>
    </row>
    <row r="332">
      <c r="AF332" s="14"/>
      <c r="AG332" s="14"/>
    </row>
    <row r="333">
      <c r="AF333" s="14"/>
      <c r="AG333" s="14"/>
    </row>
    <row r="334">
      <c r="AF334" s="14"/>
      <c r="AG334" s="14"/>
    </row>
    <row r="335">
      <c r="AF335" s="14"/>
      <c r="AG335" s="14"/>
    </row>
    <row r="336">
      <c r="AF336" s="14"/>
      <c r="AG336" s="14"/>
    </row>
    <row r="337">
      <c r="AF337" s="14"/>
      <c r="AG337" s="14"/>
    </row>
    <row r="338">
      <c r="AF338" s="14"/>
      <c r="AG338" s="14"/>
    </row>
    <row r="339">
      <c r="AF339" s="14"/>
      <c r="AG339" s="14"/>
    </row>
    <row r="340">
      <c r="AF340" s="14"/>
      <c r="AG340" s="14"/>
    </row>
    <row r="341">
      <c r="AF341" s="14"/>
      <c r="AG341" s="14"/>
    </row>
    <row r="342">
      <c r="AF342" s="14"/>
      <c r="AG342" s="14"/>
    </row>
    <row r="343">
      <c r="AF343" s="14"/>
      <c r="AG343" s="14"/>
    </row>
    <row r="344">
      <c r="AF344" s="14"/>
      <c r="AG344" s="14"/>
    </row>
    <row r="345">
      <c r="AF345" s="14"/>
      <c r="AG345" s="14"/>
    </row>
    <row r="346">
      <c r="AF346" s="14"/>
      <c r="AG346" s="14"/>
    </row>
    <row r="347">
      <c r="AF347" s="14"/>
      <c r="AG347" s="14"/>
    </row>
    <row r="348">
      <c r="AF348" s="14"/>
      <c r="AG348" s="14"/>
    </row>
    <row r="349">
      <c r="AF349" s="14"/>
      <c r="AG349" s="14"/>
    </row>
    <row r="350">
      <c r="AF350" s="14"/>
      <c r="AG350" s="14"/>
    </row>
    <row r="351">
      <c r="AF351" s="14"/>
      <c r="AG351" s="14"/>
    </row>
    <row r="352">
      <c r="AF352" s="14"/>
      <c r="AG352" s="14"/>
    </row>
    <row r="353">
      <c r="AF353" s="14"/>
      <c r="AG353" s="14"/>
    </row>
    <row r="354">
      <c r="AF354" s="14"/>
      <c r="AG354" s="14"/>
    </row>
    <row r="355">
      <c r="AF355" s="14"/>
      <c r="AG355" s="14"/>
    </row>
    <row r="356">
      <c r="AF356" s="14"/>
      <c r="AG356" s="14"/>
    </row>
    <row r="357">
      <c r="AF357" s="14"/>
      <c r="AG357" s="14"/>
    </row>
    <row r="358">
      <c r="AF358" s="14"/>
      <c r="AG358" s="14"/>
    </row>
    <row r="359">
      <c r="AF359" s="14"/>
      <c r="AG359" s="14"/>
    </row>
    <row r="360">
      <c r="AF360" s="14"/>
      <c r="AG360" s="14"/>
    </row>
    <row r="361">
      <c r="AF361" s="14"/>
      <c r="AG361" s="14"/>
    </row>
    <row r="362">
      <c r="AF362" s="14"/>
      <c r="AG362" s="14"/>
    </row>
    <row r="363">
      <c r="AF363" s="14"/>
      <c r="AG363" s="14"/>
    </row>
    <row r="364">
      <c r="AF364" s="14"/>
      <c r="AG364" s="14"/>
    </row>
    <row r="365">
      <c r="AF365" s="14"/>
      <c r="AG365" s="14"/>
    </row>
    <row r="366">
      <c r="AF366" s="14"/>
      <c r="AG366" s="14"/>
    </row>
    <row r="367">
      <c r="AF367" s="14"/>
      <c r="AG367" s="14"/>
    </row>
    <row r="368">
      <c r="AF368" s="14"/>
      <c r="AG368" s="14"/>
    </row>
    <row r="369">
      <c r="AF369" s="14"/>
      <c r="AG369" s="14"/>
    </row>
    <row r="370">
      <c r="AF370" s="14"/>
      <c r="AG370" s="14"/>
    </row>
    <row r="371">
      <c r="AF371" s="14"/>
      <c r="AG371" s="14"/>
    </row>
    <row r="372">
      <c r="AF372" s="14"/>
      <c r="AG372" s="14"/>
    </row>
    <row r="373">
      <c r="AF373" s="14"/>
      <c r="AG373" s="14"/>
    </row>
    <row r="374">
      <c r="AF374" s="14"/>
      <c r="AG374" s="14"/>
    </row>
    <row r="375">
      <c r="AF375" s="14"/>
      <c r="AG375" s="14"/>
    </row>
    <row r="376">
      <c r="AF376" s="14"/>
      <c r="AG376" s="14"/>
    </row>
    <row r="377">
      <c r="AF377" s="14"/>
      <c r="AG377" s="14"/>
    </row>
    <row r="378">
      <c r="AF378" s="14"/>
      <c r="AG378" s="14"/>
    </row>
    <row r="379">
      <c r="AF379" s="14"/>
      <c r="AG379" s="14"/>
    </row>
    <row r="380">
      <c r="AF380" s="14"/>
      <c r="AG380" s="14"/>
    </row>
    <row r="381">
      <c r="AF381" s="14"/>
      <c r="AG381" s="14"/>
    </row>
    <row r="382">
      <c r="AF382" s="14"/>
      <c r="AG382" s="14"/>
    </row>
    <row r="383">
      <c r="AF383" s="14"/>
      <c r="AG383" s="14"/>
    </row>
    <row r="384">
      <c r="AF384" s="14"/>
      <c r="AG384" s="14"/>
    </row>
    <row r="385">
      <c r="AF385" s="14"/>
      <c r="AG385" s="14"/>
    </row>
    <row r="386">
      <c r="AF386" s="14"/>
      <c r="AG386" s="14"/>
    </row>
    <row r="387">
      <c r="AF387" s="14"/>
      <c r="AG387" s="14"/>
    </row>
    <row r="388">
      <c r="AF388" s="14"/>
      <c r="AG388" s="14"/>
    </row>
    <row r="389">
      <c r="AF389" s="14"/>
      <c r="AG389" s="14"/>
    </row>
    <row r="390">
      <c r="AF390" s="14"/>
      <c r="AG390" s="14"/>
    </row>
    <row r="391">
      <c r="AF391" s="14"/>
      <c r="AG391" s="14"/>
    </row>
    <row r="392">
      <c r="AF392" s="14"/>
      <c r="AG392" s="14"/>
    </row>
    <row r="393">
      <c r="AF393" s="14"/>
      <c r="AG393" s="14"/>
    </row>
    <row r="394">
      <c r="AF394" s="14"/>
      <c r="AG394" s="14"/>
    </row>
    <row r="395">
      <c r="AF395" s="14"/>
      <c r="AG395" s="14"/>
    </row>
    <row r="396">
      <c r="AF396" s="14"/>
      <c r="AG396" s="14"/>
    </row>
    <row r="397">
      <c r="AF397" s="14"/>
      <c r="AG397" s="14"/>
    </row>
    <row r="398">
      <c r="AF398" s="14"/>
      <c r="AG398" s="14"/>
    </row>
    <row r="399">
      <c r="AF399" s="14"/>
      <c r="AG399" s="14"/>
    </row>
    <row r="400">
      <c r="AF400" s="14"/>
      <c r="AG400" s="14"/>
    </row>
    <row r="401">
      <c r="AF401" s="14"/>
      <c r="AG401" s="14"/>
    </row>
    <row r="402">
      <c r="AF402" s="14"/>
      <c r="AG402" s="14"/>
    </row>
    <row r="403">
      <c r="AF403" s="14"/>
      <c r="AG403" s="14"/>
    </row>
    <row r="404">
      <c r="AF404" s="14"/>
      <c r="AG404" s="14"/>
    </row>
    <row r="405">
      <c r="AF405" s="14"/>
      <c r="AG405" s="14"/>
    </row>
    <row r="406">
      <c r="AF406" s="14"/>
      <c r="AG406" s="14"/>
    </row>
    <row r="407">
      <c r="AF407" s="14"/>
      <c r="AG407" s="14"/>
    </row>
    <row r="408">
      <c r="AF408" s="14"/>
      <c r="AG408" s="14"/>
    </row>
    <row r="409">
      <c r="AF409" s="14"/>
      <c r="AG409" s="14"/>
    </row>
    <row r="410">
      <c r="AF410" s="14"/>
      <c r="AG410" s="14"/>
    </row>
    <row r="411">
      <c r="AF411" s="14"/>
      <c r="AG411" s="14"/>
    </row>
    <row r="412">
      <c r="AF412" s="14"/>
      <c r="AG412" s="14"/>
    </row>
    <row r="413">
      <c r="AF413" s="14"/>
      <c r="AG413" s="14"/>
    </row>
    <row r="414">
      <c r="AF414" s="14"/>
      <c r="AG414" s="14"/>
    </row>
    <row r="415">
      <c r="AF415" s="14"/>
      <c r="AG415" s="14"/>
    </row>
    <row r="416">
      <c r="AF416" s="14"/>
      <c r="AG416" s="14"/>
    </row>
    <row r="417">
      <c r="AF417" s="14"/>
      <c r="AG417" s="14"/>
    </row>
    <row r="418">
      <c r="AF418" s="14"/>
      <c r="AG418" s="14"/>
    </row>
    <row r="419">
      <c r="AF419" s="14"/>
      <c r="AG419" s="14"/>
    </row>
    <row r="420">
      <c r="AF420" s="14"/>
      <c r="AG420" s="14"/>
    </row>
    <row r="421">
      <c r="AF421" s="14"/>
      <c r="AG421" s="14"/>
    </row>
    <row r="422">
      <c r="AF422" s="14"/>
      <c r="AG422" s="14"/>
    </row>
    <row r="423">
      <c r="AF423" s="14"/>
      <c r="AG423" s="14"/>
    </row>
    <row r="424">
      <c r="AF424" s="14"/>
      <c r="AG424" s="14"/>
    </row>
    <row r="425">
      <c r="AF425" s="14"/>
      <c r="AG425" s="14"/>
    </row>
    <row r="426">
      <c r="AF426" s="14"/>
      <c r="AG426" s="14"/>
    </row>
    <row r="427">
      <c r="AF427" s="14"/>
      <c r="AG427" s="14"/>
    </row>
    <row r="428">
      <c r="AF428" s="14"/>
      <c r="AG428" s="14"/>
    </row>
    <row r="429">
      <c r="AF429" s="14"/>
      <c r="AG429" s="14"/>
    </row>
    <row r="430">
      <c r="AF430" s="14"/>
      <c r="AG430" s="14"/>
    </row>
    <row r="431">
      <c r="AF431" s="14"/>
      <c r="AG431" s="14"/>
    </row>
    <row r="432">
      <c r="AF432" s="14"/>
      <c r="AG432" s="14"/>
    </row>
    <row r="433">
      <c r="AF433" s="14"/>
      <c r="AG433" s="14"/>
    </row>
    <row r="434">
      <c r="AF434" s="14"/>
      <c r="AG434" s="14"/>
    </row>
    <row r="435">
      <c r="AF435" s="14"/>
      <c r="AG435" s="14"/>
    </row>
    <row r="436">
      <c r="AF436" s="14"/>
      <c r="AG436" s="14"/>
    </row>
    <row r="437">
      <c r="AF437" s="14"/>
      <c r="AG437" s="14"/>
    </row>
    <row r="438">
      <c r="AF438" s="14"/>
      <c r="AG438" s="14"/>
    </row>
    <row r="439">
      <c r="AF439" s="14"/>
      <c r="AG439" s="14"/>
    </row>
    <row r="440">
      <c r="AF440" s="14"/>
      <c r="AG440" s="14"/>
    </row>
    <row r="441">
      <c r="AF441" s="14"/>
      <c r="AG441" s="14"/>
    </row>
    <row r="442">
      <c r="AF442" s="14"/>
      <c r="AG442" s="14"/>
    </row>
    <row r="443">
      <c r="AF443" s="14"/>
      <c r="AG443" s="14"/>
    </row>
    <row r="444">
      <c r="AF444" s="14"/>
      <c r="AG444" s="14"/>
    </row>
    <row r="445">
      <c r="AF445" s="14"/>
      <c r="AG445" s="14"/>
    </row>
    <row r="446">
      <c r="AF446" s="14"/>
      <c r="AG446" s="14"/>
    </row>
    <row r="447">
      <c r="AF447" s="14"/>
      <c r="AG447" s="14"/>
    </row>
    <row r="448">
      <c r="AF448" s="14"/>
      <c r="AG448" s="14"/>
    </row>
    <row r="449">
      <c r="AF449" s="14"/>
      <c r="AG449" s="14"/>
    </row>
    <row r="450">
      <c r="AF450" s="14"/>
      <c r="AG450" s="14"/>
    </row>
    <row r="451">
      <c r="AF451" s="14"/>
      <c r="AG451" s="14"/>
    </row>
    <row r="452">
      <c r="AF452" s="14"/>
      <c r="AG452" s="14"/>
    </row>
    <row r="453">
      <c r="AF453" s="14"/>
      <c r="AG453" s="14"/>
    </row>
    <row r="454">
      <c r="AF454" s="14"/>
      <c r="AG454" s="14"/>
    </row>
    <row r="455">
      <c r="AF455" s="14"/>
      <c r="AG455" s="14"/>
    </row>
    <row r="456">
      <c r="AF456" s="14"/>
      <c r="AG456" s="14"/>
    </row>
    <row r="457">
      <c r="AF457" s="14"/>
      <c r="AG457" s="14"/>
    </row>
    <row r="458">
      <c r="AF458" s="14"/>
      <c r="AG458" s="14"/>
    </row>
    <row r="459">
      <c r="AF459" s="14"/>
      <c r="AG459" s="14"/>
    </row>
    <row r="460">
      <c r="AF460" s="14"/>
      <c r="AG460" s="14"/>
    </row>
    <row r="461">
      <c r="AF461" s="14"/>
      <c r="AG461" s="14"/>
    </row>
    <row r="462">
      <c r="AF462" s="14"/>
      <c r="AG462" s="14"/>
    </row>
    <row r="463">
      <c r="AF463" s="14"/>
      <c r="AG463" s="14"/>
    </row>
    <row r="464">
      <c r="AF464" s="14"/>
      <c r="AG464" s="14"/>
    </row>
    <row r="465">
      <c r="AF465" s="14"/>
      <c r="AG465" s="14"/>
    </row>
    <row r="466">
      <c r="AF466" s="14"/>
      <c r="AG466" s="14"/>
    </row>
    <row r="467">
      <c r="AF467" s="14"/>
      <c r="AG467" s="14"/>
    </row>
    <row r="468">
      <c r="AF468" s="14"/>
      <c r="AG468" s="14"/>
    </row>
    <row r="469">
      <c r="AF469" s="14"/>
      <c r="AG469" s="14"/>
    </row>
    <row r="470">
      <c r="AF470" s="14"/>
      <c r="AG470" s="14"/>
    </row>
    <row r="471">
      <c r="AF471" s="14"/>
      <c r="AG471" s="14"/>
    </row>
    <row r="472">
      <c r="AF472" s="14"/>
      <c r="AG472" s="14"/>
    </row>
    <row r="473">
      <c r="AF473" s="14"/>
      <c r="AG473" s="14"/>
    </row>
    <row r="474">
      <c r="AF474" s="14"/>
      <c r="AG474" s="14"/>
    </row>
    <row r="475">
      <c r="AF475" s="14"/>
      <c r="AG475" s="14"/>
    </row>
    <row r="476">
      <c r="AF476" s="14"/>
      <c r="AG476" s="14"/>
    </row>
    <row r="477">
      <c r="AF477" s="14"/>
      <c r="AG477" s="14"/>
    </row>
    <row r="478">
      <c r="AF478" s="14"/>
      <c r="AG478" s="14"/>
    </row>
    <row r="479">
      <c r="AF479" s="14"/>
      <c r="AG479" s="14"/>
    </row>
    <row r="480">
      <c r="AF480" s="14"/>
      <c r="AG480" s="14"/>
    </row>
    <row r="481">
      <c r="AF481" s="14"/>
      <c r="AG481" s="14"/>
    </row>
    <row r="482">
      <c r="AF482" s="14"/>
      <c r="AG482" s="14"/>
    </row>
    <row r="483">
      <c r="AF483" s="14"/>
      <c r="AG483" s="14"/>
    </row>
    <row r="484">
      <c r="AF484" s="14"/>
      <c r="AG484" s="14"/>
    </row>
    <row r="485">
      <c r="AF485" s="14"/>
      <c r="AG485" s="14"/>
    </row>
    <row r="486">
      <c r="AF486" s="14"/>
      <c r="AG486" s="14"/>
    </row>
    <row r="487">
      <c r="AF487" s="14"/>
      <c r="AG487" s="14"/>
    </row>
    <row r="488">
      <c r="AF488" s="14"/>
      <c r="AG488" s="14"/>
    </row>
    <row r="489">
      <c r="AF489" s="14"/>
      <c r="AG489" s="14"/>
    </row>
    <row r="490">
      <c r="AF490" s="14"/>
      <c r="AG490" s="14"/>
    </row>
    <row r="491">
      <c r="AF491" s="14"/>
      <c r="AG491" s="14"/>
    </row>
    <row r="492">
      <c r="AF492" s="14"/>
      <c r="AG492" s="14"/>
    </row>
    <row r="493">
      <c r="AF493" s="14"/>
      <c r="AG493" s="14"/>
    </row>
    <row r="494">
      <c r="AF494" s="14"/>
      <c r="AG494" s="14"/>
    </row>
    <row r="495">
      <c r="AF495" s="14"/>
      <c r="AG495" s="14"/>
    </row>
    <row r="496">
      <c r="AF496" s="14"/>
      <c r="AG496" s="14"/>
    </row>
    <row r="497">
      <c r="AF497" s="14"/>
      <c r="AG497" s="14"/>
    </row>
    <row r="498">
      <c r="AF498" s="14"/>
      <c r="AG498" s="14"/>
    </row>
    <row r="499">
      <c r="AF499" s="14"/>
      <c r="AG499" s="14"/>
    </row>
    <row r="500">
      <c r="AF500" s="14"/>
      <c r="AG500" s="14"/>
    </row>
    <row r="501">
      <c r="AF501" s="14"/>
      <c r="AG501" s="14"/>
    </row>
    <row r="502">
      <c r="AF502" s="14"/>
      <c r="AG502" s="14"/>
    </row>
    <row r="503">
      <c r="AF503" s="14"/>
      <c r="AG503" s="14"/>
    </row>
    <row r="504">
      <c r="AF504" s="14"/>
      <c r="AG504" s="14"/>
    </row>
    <row r="505">
      <c r="AF505" s="14"/>
      <c r="AG505" s="14"/>
    </row>
    <row r="506">
      <c r="AF506" s="14"/>
      <c r="AG506" s="14"/>
    </row>
    <row r="507">
      <c r="AF507" s="14"/>
      <c r="AG507" s="14"/>
    </row>
    <row r="508">
      <c r="AF508" s="14"/>
      <c r="AG508" s="14"/>
    </row>
    <row r="509">
      <c r="AF509" s="14"/>
      <c r="AG509" s="14"/>
    </row>
    <row r="510">
      <c r="AF510" s="14"/>
      <c r="AG510" s="14"/>
    </row>
    <row r="511">
      <c r="AF511" s="14"/>
      <c r="AG511" s="14"/>
    </row>
    <row r="512">
      <c r="AF512" s="14"/>
      <c r="AG512" s="14"/>
    </row>
    <row r="513">
      <c r="AF513" s="14"/>
      <c r="AG513" s="14"/>
    </row>
    <row r="514">
      <c r="AF514" s="14"/>
      <c r="AG514" s="14"/>
    </row>
    <row r="515">
      <c r="AF515" s="14"/>
      <c r="AG515" s="14"/>
    </row>
    <row r="516">
      <c r="AF516" s="14"/>
      <c r="AG516" s="14"/>
    </row>
    <row r="517">
      <c r="AF517" s="14"/>
      <c r="AG517" s="14"/>
    </row>
    <row r="518">
      <c r="AF518" s="14"/>
      <c r="AG518" s="14"/>
    </row>
    <row r="519">
      <c r="AF519" s="14"/>
      <c r="AG519" s="14"/>
    </row>
    <row r="520">
      <c r="AF520" s="14"/>
      <c r="AG520" s="14"/>
    </row>
    <row r="521">
      <c r="AF521" s="14"/>
      <c r="AG521" s="14"/>
    </row>
    <row r="522">
      <c r="AF522" s="14"/>
      <c r="AG522" s="14"/>
    </row>
    <row r="523">
      <c r="AF523" s="14"/>
      <c r="AG523" s="14"/>
    </row>
    <row r="524">
      <c r="AF524" s="14"/>
      <c r="AG524" s="14"/>
    </row>
    <row r="525">
      <c r="AF525" s="14"/>
      <c r="AG525" s="14"/>
    </row>
    <row r="526">
      <c r="AF526" s="14"/>
      <c r="AG526" s="14"/>
    </row>
    <row r="527">
      <c r="AF527" s="14"/>
      <c r="AG527" s="14"/>
    </row>
    <row r="528">
      <c r="AF528" s="14"/>
      <c r="AG528" s="14"/>
    </row>
    <row r="529">
      <c r="AF529" s="14"/>
      <c r="AG529" s="14"/>
    </row>
    <row r="530">
      <c r="AF530" s="14"/>
      <c r="AG530" s="14"/>
    </row>
    <row r="531">
      <c r="AF531" s="14"/>
      <c r="AG531" s="14"/>
    </row>
    <row r="532">
      <c r="AF532" s="14"/>
      <c r="AG532" s="14"/>
    </row>
    <row r="533">
      <c r="AF533" s="14"/>
      <c r="AG533" s="14"/>
    </row>
    <row r="534">
      <c r="AF534" s="14"/>
      <c r="AG534" s="14"/>
    </row>
    <row r="535">
      <c r="AF535" s="14"/>
      <c r="AG535" s="14"/>
    </row>
    <row r="536">
      <c r="AF536" s="14"/>
      <c r="AG536" s="14"/>
    </row>
    <row r="537">
      <c r="AF537" s="14"/>
      <c r="AG537" s="14"/>
    </row>
    <row r="538">
      <c r="AF538" s="14"/>
      <c r="AG538" s="14"/>
    </row>
    <row r="539">
      <c r="AF539" s="14"/>
      <c r="AG539" s="14"/>
    </row>
    <row r="540">
      <c r="AF540" s="14"/>
      <c r="AG540" s="14"/>
    </row>
    <row r="541">
      <c r="AF541" s="14"/>
      <c r="AG541" s="14"/>
    </row>
    <row r="542">
      <c r="AF542" s="14"/>
      <c r="AG542" s="14"/>
    </row>
    <row r="543">
      <c r="AF543" s="14"/>
      <c r="AG543" s="14"/>
    </row>
    <row r="544">
      <c r="AF544" s="14"/>
      <c r="AG544" s="14"/>
    </row>
    <row r="545">
      <c r="AF545" s="14"/>
      <c r="AG545" s="14"/>
    </row>
    <row r="546">
      <c r="AF546" s="14"/>
      <c r="AG546" s="14"/>
    </row>
    <row r="547">
      <c r="AF547" s="14"/>
      <c r="AG547" s="14"/>
    </row>
    <row r="548">
      <c r="AF548" s="14"/>
      <c r="AG548" s="14"/>
    </row>
    <row r="549">
      <c r="AF549" s="14"/>
      <c r="AG549" s="14"/>
    </row>
    <row r="550">
      <c r="AF550" s="14"/>
      <c r="AG550" s="14"/>
    </row>
    <row r="551">
      <c r="AF551" s="14"/>
      <c r="AG551" s="14"/>
    </row>
    <row r="552">
      <c r="AF552" s="14"/>
      <c r="AG552" s="14"/>
    </row>
    <row r="553">
      <c r="AF553" s="14"/>
      <c r="AG553" s="14"/>
    </row>
    <row r="554">
      <c r="AF554" s="14"/>
      <c r="AG554" s="14"/>
    </row>
    <row r="555">
      <c r="AF555" s="14"/>
      <c r="AG555" s="14"/>
    </row>
    <row r="556">
      <c r="AF556" s="14"/>
      <c r="AG556" s="14"/>
    </row>
    <row r="557">
      <c r="AF557" s="14"/>
      <c r="AG557" s="14"/>
    </row>
    <row r="558">
      <c r="AF558" s="14"/>
      <c r="AG558" s="14"/>
    </row>
    <row r="559">
      <c r="AF559" s="14"/>
      <c r="AG559" s="14"/>
    </row>
    <row r="560">
      <c r="AF560" s="14"/>
      <c r="AG560" s="14"/>
    </row>
    <row r="561">
      <c r="AF561" s="14"/>
      <c r="AG561" s="14"/>
    </row>
    <row r="562">
      <c r="AF562" s="14"/>
      <c r="AG562" s="14"/>
    </row>
    <row r="563">
      <c r="AF563" s="14"/>
      <c r="AG563" s="14"/>
    </row>
    <row r="564">
      <c r="AF564" s="14"/>
      <c r="AG564" s="14"/>
    </row>
    <row r="565">
      <c r="AF565" s="14"/>
      <c r="AG565" s="14"/>
    </row>
    <row r="566">
      <c r="AF566" s="14"/>
      <c r="AG566" s="14"/>
    </row>
    <row r="567">
      <c r="AF567" s="14"/>
      <c r="AG567" s="14"/>
    </row>
    <row r="568">
      <c r="AF568" s="14"/>
      <c r="AG568" s="14"/>
    </row>
    <row r="569">
      <c r="AF569" s="14"/>
      <c r="AG569" s="14"/>
    </row>
    <row r="570">
      <c r="AF570" s="14"/>
      <c r="AG570" s="14"/>
    </row>
    <row r="571">
      <c r="AF571" s="14"/>
      <c r="AG571" s="14"/>
    </row>
    <row r="572">
      <c r="AF572" s="14"/>
      <c r="AG572" s="14"/>
    </row>
    <row r="573">
      <c r="AF573" s="14"/>
      <c r="AG573" s="14"/>
    </row>
    <row r="574">
      <c r="AF574" s="14"/>
      <c r="AG574" s="14"/>
    </row>
    <row r="575">
      <c r="AF575" s="14"/>
      <c r="AG575" s="14"/>
    </row>
    <row r="576">
      <c r="AF576" s="14"/>
      <c r="AG576" s="14"/>
    </row>
    <row r="577">
      <c r="AF577" s="14"/>
      <c r="AG577" s="14"/>
    </row>
    <row r="578">
      <c r="AF578" s="14"/>
      <c r="AG578" s="14"/>
    </row>
    <row r="579">
      <c r="AF579" s="14"/>
      <c r="AG579" s="14"/>
    </row>
    <row r="580">
      <c r="AF580" s="14"/>
      <c r="AG580" s="14"/>
    </row>
    <row r="581">
      <c r="AF581" s="14"/>
      <c r="AG581" s="14"/>
    </row>
    <row r="582">
      <c r="AF582" s="14"/>
      <c r="AG582" s="14"/>
    </row>
    <row r="583">
      <c r="AF583" s="14"/>
      <c r="AG583" s="14"/>
    </row>
    <row r="584">
      <c r="AF584" s="14"/>
      <c r="AG584" s="14"/>
    </row>
    <row r="585">
      <c r="AF585" s="14"/>
      <c r="AG585" s="14"/>
    </row>
    <row r="586">
      <c r="AF586" s="14"/>
      <c r="AG586" s="14"/>
    </row>
    <row r="587">
      <c r="AF587" s="14"/>
      <c r="AG587" s="14"/>
    </row>
    <row r="588">
      <c r="AF588" s="14"/>
      <c r="AG588" s="14"/>
    </row>
    <row r="589">
      <c r="AF589" s="14"/>
      <c r="AG589" s="14"/>
    </row>
    <row r="590">
      <c r="AF590" s="14"/>
      <c r="AG590" s="14"/>
    </row>
    <row r="591">
      <c r="AF591" s="14"/>
      <c r="AG591" s="14"/>
    </row>
    <row r="592">
      <c r="AF592" s="14"/>
      <c r="AG592" s="14"/>
    </row>
    <row r="593">
      <c r="AF593" s="14"/>
      <c r="AG593" s="14"/>
    </row>
    <row r="594">
      <c r="AF594" s="14"/>
      <c r="AG594" s="14"/>
    </row>
    <row r="595">
      <c r="AF595" s="14"/>
      <c r="AG595" s="14"/>
    </row>
    <row r="596">
      <c r="AF596" s="14"/>
      <c r="AG596" s="14"/>
    </row>
    <row r="597">
      <c r="AF597" s="14"/>
      <c r="AG597" s="14"/>
    </row>
    <row r="598">
      <c r="AF598" s="14"/>
      <c r="AG598" s="14"/>
    </row>
    <row r="599">
      <c r="AF599" s="14"/>
      <c r="AG599" s="14"/>
    </row>
    <row r="600">
      <c r="AF600" s="14"/>
      <c r="AG600" s="14"/>
    </row>
    <row r="601">
      <c r="AF601" s="14"/>
      <c r="AG601" s="14"/>
    </row>
    <row r="602">
      <c r="AF602" s="14"/>
      <c r="AG602" s="14"/>
    </row>
    <row r="603">
      <c r="AF603" s="14"/>
      <c r="AG603" s="14"/>
    </row>
    <row r="604">
      <c r="AF604" s="14"/>
      <c r="AG604" s="14"/>
    </row>
    <row r="605">
      <c r="AF605" s="14"/>
      <c r="AG605" s="14"/>
    </row>
    <row r="606">
      <c r="AF606" s="14"/>
      <c r="AG606" s="14"/>
    </row>
    <row r="607">
      <c r="AF607" s="14"/>
      <c r="AG607" s="14"/>
    </row>
    <row r="608">
      <c r="AF608" s="14"/>
      <c r="AG608" s="14"/>
    </row>
    <row r="609">
      <c r="AF609" s="14"/>
      <c r="AG609" s="14"/>
    </row>
    <row r="610">
      <c r="AF610" s="14"/>
      <c r="AG610" s="14"/>
    </row>
    <row r="611">
      <c r="AF611" s="14"/>
      <c r="AG611" s="14"/>
    </row>
    <row r="612">
      <c r="AF612" s="14"/>
      <c r="AG612" s="14"/>
    </row>
    <row r="613">
      <c r="AF613" s="14"/>
      <c r="AG613" s="14"/>
    </row>
    <row r="614">
      <c r="AF614" s="14"/>
      <c r="AG614" s="14"/>
    </row>
    <row r="615">
      <c r="AF615" s="14"/>
      <c r="AG615" s="14"/>
    </row>
    <row r="616">
      <c r="AF616" s="14"/>
      <c r="AG616" s="14"/>
    </row>
    <row r="617">
      <c r="AF617" s="14"/>
      <c r="AG617" s="14"/>
    </row>
    <row r="618">
      <c r="AF618" s="14"/>
      <c r="AG618" s="14"/>
    </row>
    <row r="619">
      <c r="AF619" s="14"/>
      <c r="AG619" s="14"/>
    </row>
    <row r="620">
      <c r="AF620" s="14"/>
      <c r="AG620" s="14"/>
    </row>
    <row r="621">
      <c r="AF621" s="14"/>
      <c r="AG621" s="14"/>
    </row>
    <row r="622">
      <c r="AF622" s="14"/>
      <c r="AG622" s="14"/>
    </row>
    <row r="623">
      <c r="AF623" s="14"/>
      <c r="AG623" s="14"/>
    </row>
    <row r="624">
      <c r="AF624" s="14"/>
      <c r="AG624" s="14"/>
    </row>
    <row r="625">
      <c r="AF625" s="14"/>
      <c r="AG625" s="14"/>
    </row>
    <row r="626">
      <c r="AF626" s="14"/>
      <c r="AG626" s="14"/>
    </row>
    <row r="627">
      <c r="AF627" s="14"/>
      <c r="AG627" s="14"/>
    </row>
    <row r="628">
      <c r="AF628" s="14"/>
      <c r="AG628" s="14"/>
    </row>
    <row r="629">
      <c r="AF629" s="14"/>
      <c r="AG629" s="14"/>
    </row>
    <row r="630">
      <c r="AF630" s="14"/>
      <c r="AG630" s="14"/>
    </row>
    <row r="631">
      <c r="AF631" s="14"/>
      <c r="AG631" s="14"/>
    </row>
    <row r="632">
      <c r="AF632" s="14"/>
      <c r="AG632" s="14"/>
    </row>
    <row r="633">
      <c r="AF633" s="14"/>
      <c r="AG633" s="14"/>
    </row>
    <row r="634">
      <c r="AF634" s="14"/>
      <c r="AG634" s="14"/>
    </row>
    <row r="635">
      <c r="AF635" s="14"/>
      <c r="AG635" s="14"/>
    </row>
    <row r="636">
      <c r="AF636" s="14"/>
      <c r="AG636" s="14"/>
    </row>
    <row r="637">
      <c r="AF637" s="14"/>
      <c r="AG637" s="14"/>
    </row>
    <row r="638">
      <c r="AF638" s="14"/>
      <c r="AG638" s="14"/>
    </row>
    <row r="639">
      <c r="AF639" s="14"/>
      <c r="AG639" s="14"/>
    </row>
    <row r="640">
      <c r="AF640" s="14"/>
      <c r="AG640" s="14"/>
    </row>
    <row r="641">
      <c r="AF641" s="14"/>
      <c r="AG641" s="14"/>
    </row>
    <row r="642">
      <c r="AF642" s="14"/>
      <c r="AG642" s="14"/>
    </row>
    <row r="643">
      <c r="AF643" s="14"/>
      <c r="AG643" s="14"/>
    </row>
    <row r="644">
      <c r="AF644" s="14"/>
      <c r="AG644" s="14"/>
    </row>
    <row r="645">
      <c r="AF645" s="14"/>
      <c r="AG645" s="14"/>
    </row>
    <row r="646">
      <c r="AF646" s="14"/>
      <c r="AG646" s="14"/>
    </row>
    <row r="647">
      <c r="AF647" s="14"/>
      <c r="AG647" s="14"/>
    </row>
    <row r="648">
      <c r="AF648" s="14"/>
      <c r="AG648" s="14"/>
    </row>
    <row r="649">
      <c r="AF649" s="14"/>
      <c r="AG649" s="14"/>
    </row>
    <row r="650">
      <c r="AF650" s="14"/>
      <c r="AG650" s="14"/>
    </row>
    <row r="651">
      <c r="AF651" s="14"/>
      <c r="AG651" s="14"/>
    </row>
    <row r="652">
      <c r="AF652" s="14"/>
      <c r="AG652" s="14"/>
    </row>
    <row r="653">
      <c r="AF653" s="14"/>
      <c r="AG653" s="14"/>
    </row>
    <row r="654">
      <c r="AF654" s="14"/>
      <c r="AG654" s="14"/>
    </row>
    <row r="655">
      <c r="AF655" s="14"/>
      <c r="AG655" s="14"/>
    </row>
    <row r="656">
      <c r="AF656" s="14"/>
      <c r="AG656" s="14"/>
    </row>
    <row r="657">
      <c r="AF657" s="14"/>
      <c r="AG657" s="14"/>
    </row>
    <row r="658">
      <c r="AF658" s="14"/>
      <c r="AG658" s="14"/>
    </row>
    <row r="659">
      <c r="AF659" s="14"/>
      <c r="AG659" s="14"/>
    </row>
    <row r="660">
      <c r="AF660" s="14"/>
      <c r="AG660" s="14"/>
    </row>
    <row r="661">
      <c r="AF661" s="14"/>
      <c r="AG661" s="14"/>
    </row>
    <row r="662">
      <c r="AF662" s="14"/>
      <c r="AG662" s="14"/>
    </row>
    <row r="663">
      <c r="AF663" s="14"/>
      <c r="AG663" s="14"/>
    </row>
    <row r="664">
      <c r="AF664" s="14"/>
      <c r="AG664" s="14"/>
    </row>
    <row r="665">
      <c r="AF665" s="14"/>
      <c r="AG665" s="14"/>
    </row>
    <row r="666">
      <c r="AF666" s="14"/>
      <c r="AG666" s="14"/>
    </row>
    <row r="667">
      <c r="AF667" s="14"/>
      <c r="AG667" s="14"/>
    </row>
    <row r="668">
      <c r="AF668" s="14"/>
      <c r="AG668" s="14"/>
    </row>
    <row r="669">
      <c r="AF669" s="14"/>
      <c r="AG669" s="14"/>
    </row>
    <row r="670">
      <c r="AF670" s="14"/>
      <c r="AG670" s="14"/>
    </row>
    <row r="671">
      <c r="AF671" s="14"/>
      <c r="AG671" s="14"/>
    </row>
    <row r="672">
      <c r="AF672" s="14"/>
      <c r="AG672" s="14"/>
    </row>
    <row r="673">
      <c r="AF673" s="14"/>
      <c r="AG673" s="14"/>
    </row>
    <row r="674">
      <c r="AF674" s="14"/>
      <c r="AG674" s="14"/>
    </row>
    <row r="675">
      <c r="AF675" s="14"/>
      <c r="AG675" s="14"/>
    </row>
    <row r="676">
      <c r="AF676" s="14"/>
      <c r="AG676" s="14"/>
    </row>
    <row r="677">
      <c r="AF677" s="14"/>
      <c r="AG677" s="14"/>
    </row>
    <row r="678">
      <c r="AF678" s="14"/>
      <c r="AG678" s="14"/>
    </row>
    <row r="679">
      <c r="AF679" s="14"/>
      <c r="AG679" s="14"/>
    </row>
    <row r="680">
      <c r="AF680" s="14"/>
      <c r="AG680" s="14"/>
    </row>
    <row r="681">
      <c r="AF681" s="14"/>
      <c r="AG681" s="14"/>
    </row>
    <row r="682">
      <c r="AF682" s="14"/>
      <c r="AG682" s="14"/>
    </row>
    <row r="683">
      <c r="AF683" s="14"/>
      <c r="AG683" s="14"/>
    </row>
    <row r="684">
      <c r="AF684" s="14"/>
      <c r="AG684" s="14"/>
    </row>
    <row r="685">
      <c r="AF685" s="14"/>
      <c r="AG685" s="14"/>
    </row>
    <row r="686">
      <c r="AF686" s="14"/>
      <c r="AG686" s="14"/>
    </row>
    <row r="687">
      <c r="AF687" s="14"/>
      <c r="AG687" s="14"/>
    </row>
    <row r="688">
      <c r="AF688" s="14"/>
      <c r="AG688" s="14"/>
    </row>
    <row r="689">
      <c r="AF689" s="14"/>
      <c r="AG689" s="14"/>
    </row>
    <row r="690">
      <c r="AF690" s="14"/>
      <c r="AG690" s="14"/>
    </row>
    <row r="691">
      <c r="AF691" s="14"/>
      <c r="AG691" s="14"/>
    </row>
    <row r="692">
      <c r="AF692" s="14"/>
      <c r="AG692" s="14"/>
    </row>
    <row r="693">
      <c r="AF693" s="14"/>
      <c r="AG693" s="14"/>
    </row>
    <row r="694">
      <c r="AF694" s="14"/>
      <c r="AG694" s="14"/>
    </row>
    <row r="695">
      <c r="AF695" s="14"/>
      <c r="AG695" s="14"/>
    </row>
    <row r="696">
      <c r="AF696" s="14"/>
      <c r="AG696" s="14"/>
    </row>
    <row r="697">
      <c r="AF697" s="14"/>
      <c r="AG697" s="14"/>
    </row>
    <row r="698">
      <c r="AF698" s="14"/>
      <c r="AG698" s="14"/>
    </row>
    <row r="699">
      <c r="AF699" s="14"/>
      <c r="AG699" s="14"/>
    </row>
    <row r="700">
      <c r="AF700" s="14"/>
      <c r="AG700" s="14"/>
    </row>
    <row r="701">
      <c r="AF701" s="14"/>
      <c r="AG701" s="14"/>
    </row>
    <row r="702">
      <c r="AF702" s="14"/>
      <c r="AG702" s="14"/>
    </row>
    <row r="703">
      <c r="AF703" s="14"/>
      <c r="AG703" s="14"/>
    </row>
    <row r="704">
      <c r="AF704" s="14"/>
      <c r="AG704" s="14"/>
    </row>
    <row r="705">
      <c r="AF705" s="14"/>
      <c r="AG705" s="14"/>
    </row>
    <row r="706">
      <c r="AF706" s="14"/>
      <c r="AG706" s="14"/>
    </row>
    <row r="707">
      <c r="AF707" s="14"/>
      <c r="AG707" s="14"/>
    </row>
    <row r="708">
      <c r="AF708" s="14"/>
      <c r="AG708" s="14"/>
    </row>
    <row r="709">
      <c r="AF709" s="14"/>
      <c r="AG709" s="14"/>
    </row>
    <row r="710">
      <c r="AF710" s="14"/>
      <c r="AG710" s="14"/>
    </row>
    <row r="711">
      <c r="AF711" s="14"/>
      <c r="AG711" s="14"/>
    </row>
    <row r="712">
      <c r="AF712" s="14"/>
      <c r="AG712" s="14"/>
    </row>
    <row r="713">
      <c r="AF713" s="14"/>
      <c r="AG713" s="14"/>
    </row>
    <row r="714">
      <c r="AF714" s="14"/>
      <c r="AG714" s="14"/>
    </row>
    <row r="715">
      <c r="AF715" s="14"/>
      <c r="AG715" s="14"/>
    </row>
    <row r="716">
      <c r="AF716" s="14"/>
      <c r="AG716" s="14"/>
    </row>
    <row r="717">
      <c r="AF717" s="14"/>
      <c r="AG717" s="14"/>
    </row>
    <row r="718">
      <c r="AF718" s="14"/>
      <c r="AG718" s="14"/>
    </row>
    <row r="719">
      <c r="AF719" s="14"/>
      <c r="AG719" s="14"/>
    </row>
    <row r="720">
      <c r="AF720" s="14"/>
      <c r="AG720" s="14"/>
    </row>
    <row r="721">
      <c r="AF721" s="14"/>
      <c r="AG721" s="14"/>
    </row>
    <row r="722">
      <c r="AF722" s="14"/>
      <c r="AG722" s="14"/>
    </row>
    <row r="723">
      <c r="AF723" s="14"/>
      <c r="AG723" s="14"/>
    </row>
    <row r="724">
      <c r="AF724" s="14"/>
      <c r="AG724" s="14"/>
    </row>
    <row r="725">
      <c r="AF725" s="14"/>
      <c r="AG725" s="14"/>
    </row>
    <row r="726">
      <c r="AF726" s="14"/>
      <c r="AG726" s="14"/>
    </row>
    <row r="727">
      <c r="AF727" s="14"/>
      <c r="AG727" s="14"/>
    </row>
    <row r="728">
      <c r="AF728" s="14"/>
      <c r="AG728" s="14"/>
    </row>
    <row r="729">
      <c r="AF729" s="14"/>
      <c r="AG729" s="14"/>
    </row>
    <row r="730">
      <c r="AF730" s="14"/>
      <c r="AG730" s="14"/>
    </row>
    <row r="731">
      <c r="AF731" s="14"/>
      <c r="AG731" s="14"/>
    </row>
    <row r="732">
      <c r="AF732" s="14"/>
      <c r="AG732" s="14"/>
    </row>
    <row r="733">
      <c r="AF733" s="14"/>
      <c r="AG733" s="14"/>
    </row>
    <row r="734">
      <c r="AF734" s="14"/>
      <c r="AG734" s="14"/>
    </row>
    <row r="735">
      <c r="AF735" s="14"/>
      <c r="AG735" s="14"/>
    </row>
    <row r="736">
      <c r="AF736" s="14"/>
      <c r="AG736" s="14"/>
    </row>
    <row r="737">
      <c r="AF737" s="14"/>
      <c r="AG737" s="14"/>
    </row>
    <row r="738">
      <c r="AF738" s="14"/>
      <c r="AG738" s="14"/>
    </row>
    <row r="739">
      <c r="AF739" s="14"/>
      <c r="AG739" s="14"/>
    </row>
    <row r="740">
      <c r="AF740" s="14"/>
      <c r="AG740" s="14"/>
    </row>
    <row r="741">
      <c r="AF741" s="14"/>
      <c r="AG741" s="14"/>
    </row>
    <row r="742">
      <c r="AF742" s="14"/>
      <c r="AG742" s="14"/>
    </row>
    <row r="743">
      <c r="AF743" s="14"/>
      <c r="AG743" s="14"/>
    </row>
    <row r="744">
      <c r="AF744" s="14"/>
      <c r="AG744" s="14"/>
    </row>
    <row r="745">
      <c r="AF745" s="14"/>
      <c r="AG745" s="14"/>
    </row>
    <row r="746">
      <c r="AF746" s="14"/>
      <c r="AG746" s="14"/>
    </row>
    <row r="747">
      <c r="AF747" s="14"/>
      <c r="AG747" s="14"/>
    </row>
    <row r="748">
      <c r="AF748" s="14"/>
      <c r="AG748" s="14"/>
    </row>
    <row r="749">
      <c r="AF749" s="14"/>
      <c r="AG749" s="14"/>
    </row>
    <row r="750">
      <c r="AF750" s="14"/>
      <c r="AG750" s="14"/>
    </row>
    <row r="751">
      <c r="AF751" s="14"/>
      <c r="AG751" s="14"/>
    </row>
    <row r="752">
      <c r="AF752" s="14"/>
      <c r="AG752" s="14"/>
    </row>
    <row r="753">
      <c r="AF753" s="14"/>
      <c r="AG753" s="14"/>
    </row>
    <row r="754">
      <c r="AF754" s="14"/>
      <c r="AG754" s="14"/>
    </row>
    <row r="755">
      <c r="AF755" s="14"/>
      <c r="AG755" s="14"/>
    </row>
    <row r="756">
      <c r="AF756" s="14"/>
      <c r="AG756" s="14"/>
    </row>
    <row r="757">
      <c r="AF757" s="14"/>
      <c r="AG757" s="14"/>
    </row>
    <row r="758">
      <c r="AF758" s="14"/>
      <c r="AG758" s="14"/>
    </row>
    <row r="759">
      <c r="AF759" s="14"/>
      <c r="AG759" s="14"/>
    </row>
    <row r="760">
      <c r="AF760" s="14"/>
      <c r="AG760" s="14"/>
    </row>
    <row r="761">
      <c r="AF761" s="14"/>
      <c r="AG761" s="14"/>
    </row>
    <row r="762">
      <c r="AF762" s="14"/>
      <c r="AG762" s="14"/>
    </row>
    <row r="763">
      <c r="AF763" s="14"/>
      <c r="AG763" s="14"/>
    </row>
    <row r="764">
      <c r="AF764" s="14"/>
      <c r="AG764" s="14"/>
    </row>
    <row r="765">
      <c r="AF765" s="14"/>
      <c r="AG765" s="14"/>
    </row>
    <row r="766">
      <c r="AF766" s="14"/>
      <c r="AG766" s="14"/>
    </row>
    <row r="767">
      <c r="AF767" s="14"/>
      <c r="AG767" s="14"/>
    </row>
    <row r="768">
      <c r="AF768" s="14"/>
      <c r="AG768" s="14"/>
    </row>
    <row r="769">
      <c r="AF769" s="14"/>
      <c r="AG769" s="14"/>
    </row>
    <row r="770">
      <c r="AF770" s="14"/>
      <c r="AG770" s="14"/>
    </row>
    <row r="771">
      <c r="AF771" s="14"/>
      <c r="AG771" s="14"/>
    </row>
    <row r="772">
      <c r="AF772" s="14"/>
      <c r="AG772" s="14"/>
    </row>
    <row r="773">
      <c r="AF773" s="14"/>
      <c r="AG773" s="14"/>
    </row>
    <row r="774">
      <c r="AF774" s="14"/>
      <c r="AG774" s="14"/>
    </row>
    <row r="775">
      <c r="AF775" s="14"/>
      <c r="AG775" s="14"/>
    </row>
    <row r="776">
      <c r="AF776" s="14"/>
      <c r="AG776" s="14"/>
    </row>
    <row r="777">
      <c r="AF777" s="14"/>
      <c r="AG777" s="14"/>
    </row>
    <row r="778">
      <c r="AF778" s="14"/>
      <c r="AG778" s="14"/>
    </row>
    <row r="779">
      <c r="AF779" s="14"/>
      <c r="AG779" s="14"/>
    </row>
    <row r="780">
      <c r="AF780" s="14"/>
      <c r="AG780" s="14"/>
    </row>
    <row r="781">
      <c r="AF781" s="14"/>
      <c r="AG781" s="14"/>
    </row>
    <row r="782">
      <c r="AF782" s="14"/>
      <c r="AG782" s="14"/>
    </row>
    <row r="783">
      <c r="AF783" s="14"/>
      <c r="AG783" s="14"/>
    </row>
    <row r="784">
      <c r="AF784" s="14"/>
      <c r="AG784" s="14"/>
    </row>
    <row r="785">
      <c r="AF785" s="14"/>
      <c r="AG785" s="14"/>
    </row>
    <row r="786">
      <c r="AF786" s="14"/>
      <c r="AG786" s="14"/>
    </row>
    <row r="787">
      <c r="AF787" s="14"/>
      <c r="AG787" s="14"/>
    </row>
    <row r="788">
      <c r="AF788" s="14"/>
      <c r="AG788" s="14"/>
    </row>
    <row r="789">
      <c r="AF789" s="14"/>
      <c r="AG789" s="14"/>
    </row>
    <row r="790">
      <c r="AF790" s="14"/>
      <c r="AG790" s="14"/>
    </row>
    <row r="791">
      <c r="AF791" s="14"/>
      <c r="AG791" s="14"/>
    </row>
    <row r="792">
      <c r="AF792" s="14"/>
      <c r="AG792" s="14"/>
    </row>
    <row r="793">
      <c r="AF793" s="14"/>
      <c r="AG793" s="14"/>
    </row>
    <row r="794">
      <c r="AF794" s="14"/>
      <c r="AG794" s="14"/>
    </row>
    <row r="795">
      <c r="AF795" s="14"/>
      <c r="AG795" s="14"/>
    </row>
    <row r="796">
      <c r="AF796" s="14"/>
      <c r="AG796" s="14"/>
    </row>
    <row r="797">
      <c r="AF797" s="14"/>
      <c r="AG797" s="14"/>
    </row>
    <row r="798">
      <c r="AF798" s="14"/>
      <c r="AG798" s="14"/>
    </row>
    <row r="799">
      <c r="AF799" s="14"/>
      <c r="AG799" s="14"/>
    </row>
    <row r="800">
      <c r="AF800" s="14"/>
      <c r="AG800" s="14"/>
    </row>
    <row r="801">
      <c r="AF801" s="14"/>
      <c r="AG801" s="14"/>
    </row>
    <row r="802">
      <c r="AF802" s="14"/>
      <c r="AG802" s="14"/>
    </row>
    <row r="803">
      <c r="AF803" s="14"/>
      <c r="AG803" s="14"/>
    </row>
    <row r="804">
      <c r="AF804" s="14"/>
      <c r="AG804" s="14"/>
    </row>
    <row r="805">
      <c r="AF805" s="14"/>
      <c r="AG805" s="14"/>
    </row>
    <row r="806">
      <c r="AF806" s="14"/>
      <c r="AG806" s="14"/>
    </row>
    <row r="807">
      <c r="AF807" s="14"/>
      <c r="AG807" s="14"/>
    </row>
    <row r="808">
      <c r="AF808" s="14"/>
      <c r="AG808" s="14"/>
    </row>
    <row r="809">
      <c r="AF809" s="14"/>
      <c r="AG809" s="14"/>
    </row>
    <row r="810">
      <c r="AF810" s="14"/>
      <c r="AG810" s="14"/>
    </row>
    <row r="811">
      <c r="AF811" s="14"/>
      <c r="AG811" s="14"/>
    </row>
    <row r="812">
      <c r="AF812" s="14"/>
      <c r="AG812" s="14"/>
    </row>
    <row r="813">
      <c r="AF813" s="14"/>
      <c r="AG813" s="14"/>
    </row>
    <row r="814">
      <c r="AF814" s="14"/>
      <c r="AG814" s="14"/>
    </row>
    <row r="815">
      <c r="AF815" s="14"/>
      <c r="AG815" s="14"/>
    </row>
    <row r="816">
      <c r="AF816" s="14"/>
      <c r="AG816" s="14"/>
    </row>
    <row r="817">
      <c r="AF817" s="14"/>
      <c r="AG817" s="14"/>
    </row>
    <row r="818">
      <c r="AF818" s="14"/>
      <c r="AG818" s="14"/>
    </row>
    <row r="819">
      <c r="AF819" s="14"/>
      <c r="AG819" s="14"/>
    </row>
    <row r="820">
      <c r="AF820" s="14"/>
      <c r="AG820" s="14"/>
    </row>
    <row r="821">
      <c r="AF821" s="14"/>
      <c r="AG821" s="14"/>
    </row>
    <row r="822">
      <c r="AF822" s="14"/>
      <c r="AG822" s="14"/>
    </row>
    <row r="823">
      <c r="AF823" s="14"/>
      <c r="AG823" s="14"/>
    </row>
    <row r="824">
      <c r="AF824" s="14"/>
      <c r="AG824" s="14"/>
    </row>
    <row r="825">
      <c r="AF825" s="14"/>
      <c r="AG825" s="14"/>
    </row>
    <row r="826">
      <c r="AF826" s="14"/>
      <c r="AG826" s="14"/>
    </row>
    <row r="827">
      <c r="AF827" s="14"/>
      <c r="AG827" s="14"/>
    </row>
    <row r="828">
      <c r="AF828" s="14"/>
      <c r="AG828" s="14"/>
    </row>
    <row r="829">
      <c r="AF829" s="14"/>
      <c r="AG829" s="14"/>
    </row>
    <row r="830">
      <c r="AF830" s="14"/>
      <c r="AG830" s="14"/>
    </row>
    <row r="831">
      <c r="AF831" s="14"/>
      <c r="AG831" s="14"/>
    </row>
    <row r="832">
      <c r="AF832" s="14"/>
      <c r="AG832" s="14"/>
    </row>
    <row r="833">
      <c r="AF833" s="14"/>
      <c r="AG833" s="14"/>
    </row>
    <row r="834">
      <c r="AF834" s="14"/>
      <c r="AG834" s="14"/>
    </row>
    <row r="835">
      <c r="AF835" s="14"/>
      <c r="AG835" s="14"/>
    </row>
    <row r="836">
      <c r="AF836" s="14"/>
      <c r="AG836" s="14"/>
    </row>
    <row r="837">
      <c r="AF837" s="14"/>
      <c r="AG837" s="14"/>
    </row>
    <row r="838">
      <c r="AF838" s="14"/>
      <c r="AG838" s="14"/>
    </row>
    <row r="839">
      <c r="AF839" s="14"/>
      <c r="AG839" s="14"/>
    </row>
    <row r="840">
      <c r="AF840" s="14"/>
      <c r="AG840" s="14"/>
    </row>
    <row r="841">
      <c r="AF841" s="14"/>
      <c r="AG841" s="14"/>
    </row>
    <row r="842">
      <c r="AF842" s="14"/>
      <c r="AG842" s="14"/>
    </row>
    <row r="843">
      <c r="AF843" s="14"/>
      <c r="AG843" s="14"/>
    </row>
    <row r="844">
      <c r="AF844" s="14"/>
      <c r="AG844" s="14"/>
    </row>
    <row r="845">
      <c r="AF845" s="14"/>
      <c r="AG845" s="14"/>
    </row>
    <row r="846">
      <c r="AF846" s="14"/>
      <c r="AG846" s="14"/>
    </row>
    <row r="847">
      <c r="AF847" s="14"/>
      <c r="AG847" s="14"/>
    </row>
    <row r="848">
      <c r="AF848" s="14"/>
      <c r="AG848" s="14"/>
    </row>
    <row r="849">
      <c r="AF849" s="14"/>
      <c r="AG849" s="14"/>
    </row>
    <row r="850">
      <c r="AF850" s="14"/>
      <c r="AG850" s="14"/>
    </row>
    <row r="851">
      <c r="AF851" s="14"/>
      <c r="AG851" s="14"/>
    </row>
    <row r="852">
      <c r="AF852" s="14"/>
      <c r="AG852" s="14"/>
    </row>
    <row r="853">
      <c r="AF853" s="14"/>
      <c r="AG853" s="14"/>
    </row>
    <row r="854">
      <c r="AF854" s="14"/>
      <c r="AG854" s="14"/>
    </row>
    <row r="855">
      <c r="AF855" s="14"/>
      <c r="AG855" s="14"/>
    </row>
    <row r="856">
      <c r="AF856" s="14"/>
      <c r="AG856" s="14"/>
    </row>
    <row r="857">
      <c r="AF857" s="14"/>
      <c r="AG857" s="14"/>
    </row>
    <row r="858">
      <c r="AF858" s="14"/>
      <c r="AG858" s="14"/>
    </row>
    <row r="859">
      <c r="AF859" s="14"/>
      <c r="AG859" s="14"/>
    </row>
    <row r="860">
      <c r="AF860" s="14"/>
      <c r="AG860" s="14"/>
    </row>
    <row r="861">
      <c r="AF861" s="14"/>
      <c r="AG861" s="14"/>
    </row>
    <row r="862">
      <c r="AF862" s="14"/>
      <c r="AG862" s="14"/>
    </row>
    <row r="863">
      <c r="AF863" s="14"/>
      <c r="AG863" s="14"/>
    </row>
    <row r="864">
      <c r="AF864" s="14"/>
      <c r="AG864" s="14"/>
    </row>
    <row r="865">
      <c r="AF865" s="14"/>
      <c r="AG865" s="14"/>
    </row>
    <row r="866">
      <c r="AF866" s="14"/>
      <c r="AG866" s="14"/>
    </row>
    <row r="867">
      <c r="AF867" s="14"/>
      <c r="AG867" s="14"/>
    </row>
    <row r="868">
      <c r="AF868" s="14"/>
      <c r="AG868" s="14"/>
    </row>
    <row r="869">
      <c r="AF869" s="14"/>
      <c r="AG869" s="14"/>
    </row>
    <row r="870">
      <c r="AF870" s="14"/>
      <c r="AG870" s="14"/>
    </row>
    <row r="871">
      <c r="AF871" s="14"/>
      <c r="AG871" s="14"/>
    </row>
    <row r="872">
      <c r="AF872" s="14"/>
      <c r="AG872" s="14"/>
    </row>
    <row r="873">
      <c r="AF873" s="14"/>
      <c r="AG873" s="14"/>
    </row>
    <row r="874">
      <c r="AF874" s="14"/>
      <c r="AG874" s="14"/>
    </row>
    <row r="875">
      <c r="AF875" s="14"/>
      <c r="AG875" s="14"/>
    </row>
    <row r="876">
      <c r="AF876" s="14"/>
      <c r="AG876" s="14"/>
    </row>
    <row r="877">
      <c r="AF877" s="14"/>
      <c r="AG877" s="14"/>
    </row>
    <row r="878">
      <c r="AF878" s="14"/>
      <c r="AG878" s="14"/>
    </row>
    <row r="879">
      <c r="AF879" s="14"/>
      <c r="AG879" s="14"/>
    </row>
    <row r="880">
      <c r="AF880" s="14"/>
      <c r="AG880" s="14"/>
    </row>
    <row r="881">
      <c r="AF881" s="14"/>
      <c r="AG881" s="14"/>
    </row>
    <row r="882">
      <c r="AF882" s="14"/>
      <c r="AG882" s="14"/>
    </row>
    <row r="883">
      <c r="AF883" s="14"/>
      <c r="AG883" s="14"/>
    </row>
    <row r="884">
      <c r="AF884" s="14"/>
      <c r="AG884" s="14"/>
    </row>
    <row r="885">
      <c r="AF885" s="14"/>
      <c r="AG885" s="14"/>
    </row>
    <row r="886">
      <c r="AF886" s="14"/>
      <c r="AG886" s="14"/>
    </row>
    <row r="887">
      <c r="AF887" s="14"/>
      <c r="AG887" s="14"/>
    </row>
    <row r="888">
      <c r="AF888" s="14"/>
      <c r="AG888" s="14"/>
    </row>
    <row r="889">
      <c r="AF889" s="14"/>
      <c r="AG889" s="14"/>
    </row>
    <row r="890">
      <c r="AF890" s="14"/>
      <c r="AG890" s="14"/>
    </row>
    <row r="891">
      <c r="AF891" s="14"/>
      <c r="AG891" s="14"/>
    </row>
    <row r="892">
      <c r="AF892" s="14"/>
      <c r="AG892" s="14"/>
    </row>
    <row r="893">
      <c r="AF893" s="14"/>
      <c r="AG893" s="14"/>
    </row>
    <row r="894">
      <c r="AF894" s="14"/>
      <c r="AG894" s="14"/>
    </row>
    <row r="895">
      <c r="AF895" s="14"/>
      <c r="AG895" s="14"/>
    </row>
    <row r="896">
      <c r="AF896" s="14"/>
      <c r="AG896" s="14"/>
    </row>
    <row r="897">
      <c r="AF897" s="14"/>
      <c r="AG897" s="14"/>
    </row>
    <row r="898">
      <c r="AF898" s="14"/>
      <c r="AG898" s="14"/>
    </row>
    <row r="899">
      <c r="AF899" s="14"/>
      <c r="AG899" s="14"/>
    </row>
    <row r="900">
      <c r="AF900" s="14"/>
      <c r="AG900" s="14"/>
    </row>
    <row r="901">
      <c r="AF901" s="14"/>
      <c r="AG901" s="14"/>
    </row>
    <row r="902">
      <c r="AF902" s="14"/>
      <c r="AG902" s="14"/>
    </row>
    <row r="903">
      <c r="AF903" s="14"/>
      <c r="AG903" s="14"/>
    </row>
    <row r="904">
      <c r="AF904" s="14"/>
      <c r="AG904" s="14"/>
    </row>
    <row r="905">
      <c r="AF905" s="14"/>
      <c r="AG905" s="14"/>
    </row>
    <row r="906">
      <c r="AF906" s="14"/>
      <c r="AG906" s="14"/>
    </row>
    <row r="907">
      <c r="AF907" s="14"/>
      <c r="AG907" s="14"/>
    </row>
    <row r="908">
      <c r="AF908" s="14"/>
      <c r="AG908" s="14"/>
    </row>
    <row r="909">
      <c r="AF909" s="14"/>
      <c r="AG909" s="14"/>
    </row>
    <row r="910">
      <c r="AF910" s="14"/>
      <c r="AG910" s="14"/>
    </row>
    <row r="911">
      <c r="AF911" s="14"/>
      <c r="AG911" s="14"/>
    </row>
    <row r="912">
      <c r="AF912" s="14"/>
      <c r="AG912" s="14"/>
    </row>
    <row r="913">
      <c r="AF913" s="14"/>
      <c r="AG913" s="14"/>
    </row>
    <row r="914">
      <c r="AF914" s="14"/>
      <c r="AG914" s="14"/>
    </row>
    <row r="915">
      <c r="AF915" s="14"/>
      <c r="AG915" s="14"/>
    </row>
    <row r="916">
      <c r="AF916" s="14"/>
      <c r="AG916" s="14"/>
    </row>
    <row r="917">
      <c r="AF917" s="14"/>
      <c r="AG917" s="14"/>
    </row>
    <row r="918">
      <c r="AF918" s="14"/>
      <c r="AG918" s="14"/>
    </row>
    <row r="919">
      <c r="AF919" s="14"/>
      <c r="AG919" s="14"/>
    </row>
    <row r="920">
      <c r="AF920" s="14"/>
      <c r="AG920" s="14"/>
    </row>
    <row r="921">
      <c r="AF921" s="14"/>
      <c r="AG921" s="14"/>
    </row>
    <row r="922">
      <c r="AF922" s="14"/>
      <c r="AG922" s="14"/>
    </row>
    <row r="923">
      <c r="AF923" s="14"/>
      <c r="AG923" s="14"/>
    </row>
    <row r="924">
      <c r="AF924" s="14"/>
      <c r="AG924" s="14"/>
    </row>
    <row r="925">
      <c r="AF925" s="14"/>
      <c r="AG925" s="14"/>
    </row>
    <row r="926">
      <c r="AF926" s="14"/>
      <c r="AG926" s="14"/>
    </row>
    <row r="927">
      <c r="AF927" s="14"/>
      <c r="AG927" s="14"/>
    </row>
    <row r="928">
      <c r="AF928" s="14"/>
      <c r="AG928" s="14"/>
    </row>
    <row r="929">
      <c r="AF929" s="14"/>
      <c r="AG929" s="14"/>
    </row>
    <row r="930">
      <c r="AF930" s="14"/>
      <c r="AG930" s="14"/>
    </row>
    <row r="931">
      <c r="AF931" s="14"/>
      <c r="AG931" s="14"/>
    </row>
    <row r="932">
      <c r="AF932" s="14"/>
      <c r="AG932" s="14"/>
    </row>
    <row r="933">
      <c r="AF933" s="14"/>
      <c r="AG933" s="14"/>
    </row>
    <row r="934">
      <c r="AF934" s="14"/>
      <c r="AG934" s="14"/>
    </row>
    <row r="935">
      <c r="AF935" s="14"/>
      <c r="AG935" s="14"/>
    </row>
    <row r="936">
      <c r="AF936" s="14"/>
      <c r="AG936" s="14"/>
    </row>
    <row r="937">
      <c r="AF937" s="14"/>
      <c r="AG937" s="14"/>
    </row>
    <row r="938">
      <c r="AF938" s="14"/>
      <c r="AG938" s="14"/>
    </row>
    <row r="939">
      <c r="AF939" s="14"/>
      <c r="AG939" s="14"/>
    </row>
    <row r="940">
      <c r="AF940" s="14"/>
      <c r="AG940" s="14"/>
    </row>
    <row r="941">
      <c r="AF941" s="14"/>
      <c r="AG941" s="14"/>
    </row>
    <row r="942">
      <c r="AF942" s="14"/>
      <c r="AG942" s="14"/>
    </row>
    <row r="943">
      <c r="AF943" s="14"/>
      <c r="AG943" s="14"/>
    </row>
    <row r="944">
      <c r="AF944" s="14"/>
      <c r="AG944" s="14"/>
    </row>
    <row r="945">
      <c r="AF945" s="14"/>
      <c r="AG945" s="14"/>
    </row>
    <row r="946">
      <c r="AF946" s="14"/>
      <c r="AG946" s="14"/>
    </row>
    <row r="947">
      <c r="AF947" s="14"/>
      <c r="AG947" s="14"/>
    </row>
    <row r="948">
      <c r="AF948" s="14"/>
      <c r="AG948" s="14"/>
    </row>
    <row r="949">
      <c r="AF949" s="14"/>
      <c r="AG949" s="14"/>
    </row>
    <row r="950">
      <c r="AF950" s="14"/>
      <c r="AG950" s="14"/>
    </row>
    <row r="951">
      <c r="AF951" s="14"/>
      <c r="AG951" s="14"/>
    </row>
    <row r="952">
      <c r="AF952" s="14"/>
      <c r="AG952" s="14"/>
    </row>
    <row r="953">
      <c r="AF953" s="14"/>
      <c r="AG953" s="14"/>
    </row>
    <row r="954">
      <c r="AF954" s="14"/>
      <c r="AG954" s="14"/>
    </row>
    <row r="955">
      <c r="AF955" s="14"/>
      <c r="AG955" s="14"/>
    </row>
    <row r="956">
      <c r="AF956" s="14"/>
      <c r="AG956" s="14"/>
    </row>
    <row r="957">
      <c r="AF957" s="14"/>
      <c r="AG957" s="14"/>
    </row>
    <row r="958">
      <c r="AF958" s="14"/>
      <c r="AG958" s="14"/>
    </row>
    <row r="959">
      <c r="AF959" s="14"/>
      <c r="AG959" s="14"/>
    </row>
    <row r="960">
      <c r="AF960" s="14"/>
      <c r="AG960" s="14"/>
    </row>
    <row r="961">
      <c r="AF961" s="14"/>
      <c r="AG961" s="14"/>
    </row>
    <row r="962">
      <c r="AF962" s="14"/>
      <c r="AG962" s="14"/>
    </row>
    <row r="963">
      <c r="AF963" s="14"/>
      <c r="AG963" s="14"/>
    </row>
    <row r="964">
      <c r="AF964" s="14"/>
      <c r="AG964" s="14"/>
    </row>
    <row r="965">
      <c r="AF965" s="14"/>
      <c r="AG965" s="14"/>
    </row>
    <row r="966">
      <c r="AF966" s="14"/>
      <c r="AG966" s="14"/>
    </row>
    <row r="967">
      <c r="AF967" s="14"/>
      <c r="AG967" s="14"/>
    </row>
    <row r="968">
      <c r="AF968" s="14"/>
      <c r="AG968" s="14"/>
    </row>
    <row r="969">
      <c r="AF969" s="14"/>
      <c r="AG969" s="14"/>
    </row>
    <row r="970">
      <c r="AF970" s="14"/>
      <c r="AG970" s="14"/>
    </row>
    <row r="971">
      <c r="AF971" s="14"/>
      <c r="AG971" s="14"/>
    </row>
    <row r="972">
      <c r="AF972" s="14"/>
      <c r="AG972" s="14"/>
    </row>
    <row r="973">
      <c r="AF973" s="14"/>
      <c r="AG973" s="14"/>
    </row>
    <row r="974">
      <c r="AF974" s="14"/>
      <c r="AG974" s="14"/>
    </row>
    <row r="975">
      <c r="AF975" s="14"/>
      <c r="AG975" s="14"/>
    </row>
    <row r="976">
      <c r="AF976" s="14"/>
      <c r="AG976" s="14"/>
    </row>
    <row r="977">
      <c r="AF977" s="14"/>
      <c r="AG977" s="14"/>
    </row>
    <row r="978">
      <c r="AF978" s="14"/>
      <c r="AG978" s="14"/>
    </row>
    <row r="979">
      <c r="AF979" s="14"/>
      <c r="AG979" s="14"/>
    </row>
    <row r="980">
      <c r="AF980" s="14"/>
      <c r="AG980" s="14"/>
    </row>
    <row r="981">
      <c r="AF981" s="14"/>
      <c r="AG981" s="14"/>
    </row>
    <row r="982">
      <c r="AF982" s="14"/>
      <c r="AG982" s="14"/>
    </row>
    <row r="983">
      <c r="AF983" s="14"/>
      <c r="AG983" s="14"/>
    </row>
    <row r="984">
      <c r="AF984" s="14"/>
      <c r="AG984" s="14"/>
    </row>
    <row r="985">
      <c r="AF985" s="14"/>
      <c r="AG985" s="14"/>
    </row>
    <row r="986">
      <c r="AF986" s="14"/>
      <c r="AG986" s="14"/>
    </row>
    <row r="987">
      <c r="AF987" s="14"/>
      <c r="AG987" s="14"/>
    </row>
    <row r="988">
      <c r="AF988" s="14"/>
      <c r="AG988" s="14"/>
    </row>
    <row r="989">
      <c r="AF989" s="14"/>
      <c r="AG989" s="14"/>
    </row>
    <row r="990">
      <c r="AF990" s="14"/>
      <c r="AG990" s="14"/>
    </row>
    <row r="991">
      <c r="AF991" s="14"/>
      <c r="AG991" s="14"/>
    </row>
    <row r="992">
      <c r="AF992" s="14"/>
      <c r="AG992" s="14"/>
    </row>
    <row r="993">
      <c r="AF993" s="14"/>
      <c r="AG993" s="14"/>
    </row>
    <row r="994">
      <c r="AF994" s="14"/>
      <c r="AG994" s="14"/>
    </row>
    <row r="995">
      <c r="AF995" s="14"/>
      <c r="AG995" s="14"/>
    </row>
    <row r="996">
      <c r="AF996" s="14"/>
      <c r="AG996" s="14"/>
    </row>
    <row r="997">
      <c r="AF997" s="14"/>
      <c r="AG997" s="14"/>
    </row>
    <row r="998">
      <c r="AF998" s="14"/>
      <c r="AG998" s="14"/>
    </row>
    <row r="999">
      <c r="AF999" s="14"/>
      <c r="AG999" s="14"/>
    </row>
    <row r="1000">
      <c r="AF1000" s="14"/>
      <c r="AG1000" s="1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5" t="s">
        <v>51</v>
      </c>
      <c r="B1" s="15" t="s">
        <v>52</v>
      </c>
      <c r="C1" s="15" t="s">
        <v>53</v>
      </c>
      <c r="D1" s="16">
        <v>45943.0</v>
      </c>
      <c r="E1" s="16">
        <v>45944.0</v>
      </c>
      <c r="F1" s="16">
        <v>45945.0</v>
      </c>
      <c r="G1" s="16">
        <v>45947.0</v>
      </c>
      <c r="H1" s="16">
        <v>45950.0</v>
      </c>
      <c r="I1" s="16">
        <v>45951.0</v>
      </c>
      <c r="J1" s="16">
        <v>45952.0</v>
      </c>
      <c r="K1" s="16">
        <v>45954.0</v>
      </c>
      <c r="L1" s="16">
        <v>45958.0</v>
      </c>
      <c r="M1" s="16">
        <v>45959.0</v>
      </c>
      <c r="N1" s="16">
        <v>45960.0</v>
      </c>
      <c r="O1" s="16">
        <v>45961.0</v>
      </c>
      <c r="P1" s="16">
        <v>45964.0</v>
      </c>
      <c r="Q1" s="16">
        <v>45965.0</v>
      </c>
      <c r="R1" s="16">
        <v>45966.0</v>
      </c>
      <c r="S1" s="16">
        <v>45967.0</v>
      </c>
      <c r="T1" s="17">
        <v>45970.0</v>
      </c>
      <c r="U1" s="18">
        <v>45971.0</v>
      </c>
      <c r="V1" s="18">
        <v>45972.0</v>
      </c>
      <c r="W1" s="18">
        <v>45973.0</v>
      </c>
      <c r="X1" s="18">
        <v>45974.0</v>
      </c>
      <c r="Y1" s="18">
        <v>45975.0</v>
      </c>
      <c r="Z1" s="18">
        <v>45978.0</v>
      </c>
      <c r="AA1" s="18">
        <v>45979.0</v>
      </c>
      <c r="AB1" s="18">
        <v>45985.0</v>
      </c>
      <c r="AC1" s="18">
        <v>45986.0</v>
      </c>
    </row>
    <row r="2">
      <c r="A2" s="14" t="s">
        <v>54</v>
      </c>
      <c r="B2" s="14" t="s">
        <v>55</v>
      </c>
      <c r="C2" s="14" t="s">
        <v>56</v>
      </c>
      <c r="D2" s="19">
        <v>25.82</v>
      </c>
      <c r="E2" s="19">
        <v>26.47</v>
      </c>
      <c r="F2" s="19">
        <v>26.84</v>
      </c>
      <c r="G2" s="19">
        <v>27.49</v>
      </c>
      <c r="H2" s="19">
        <v>27.49</v>
      </c>
      <c r="I2" s="19">
        <v>28.02</v>
      </c>
      <c r="J2" s="19">
        <v>28.38</v>
      </c>
      <c r="K2" s="19">
        <v>28.78</v>
      </c>
      <c r="L2" s="19">
        <v>29.97</v>
      </c>
      <c r="M2" s="19">
        <v>30.25</v>
      </c>
      <c r="N2" s="19">
        <v>30.55</v>
      </c>
      <c r="O2" s="19">
        <v>30.44</v>
      </c>
      <c r="P2" s="19">
        <v>30.77</v>
      </c>
      <c r="Q2" s="19">
        <v>31.35</v>
      </c>
      <c r="R2" s="19">
        <v>30.86</v>
      </c>
      <c r="S2" s="19">
        <v>31.18</v>
      </c>
      <c r="T2" s="19">
        <v>32.53</v>
      </c>
      <c r="U2" s="7">
        <v>32.17</v>
      </c>
      <c r="V2" s="7">
        <v>32.87</v>
      </c>
      <c r="W2" s="7">
        <v>33.03</v>
      </c>
      <c r="X2" s="7">
        <v>33.1</v>
      </c>
      <c r="Y2" s="7">
        <v>33.33</v>
      </c>
      <c r="Z2" s="7">
        <v>34.12</v>
      </c>
      <c r="AA2" s="7">
        <v>34.54</v>
      </c>
      <c r="AB2" s="7">
        <v>35.28</v>
      </c>
      <c r="AC2" s="7">
        <v>36.03</v>
      </c>
    </row>
    <row r="3">
      <c r="A3" s="14" t="s">
        <v>57</v>
      </c>
      <c r="B3" s="14" t="s">
        <v>55</v>
      </c>
      <c r="C3" s="14" t="s">
        <v>56</v>
      </c>
      <c r="D3" s="19">
        <v>28.99</v>
      </c>
      <c r="E3" s="19">
        <v>29.7</v>
      </c>
      <c r="F3" s="19">
        <v>29.92</v>
      </c>
      <c r="G3" s="19">
        <v>29.48</v>
      </c>
      <c r="H3" s="19">
        <v>28.12</v>
      </c>
      <c r="I3" s="19">
        <v>29.8</v>
      </c>
      <c r="J3" s="19">
        <v>30.39</v>
      </c>
      <c r="K3" s="19">
        <v>30.28</v>
      </c>
      <c r="L3" s="19">
        <v>30.8</v>
      </c>
      <c r="M3" s="19">
        <v>30.68</v>
      </c>
      <c r="N3" s="19">
        <v>30.97</v>
      </c>
      <c r="O3" s="19">
        <v>31.0</v>
      </c>
      <c r="P3" s="19">
        <v>30.89</v>
      </c>
      <c r="Q3" s="19">
        <v>32.28</v>
      </c>
      <c r="R3" s="19">
        <v>32.01</v>
      </c>
      <c r="S3" s="19">
        <v>32.89</v>
      </c>
      <c r="T3" s="19">
        <v>33.18</v>
      </c>
      <c r="U3" s="7">
        <v>33.34</v>
      </c>
      <c r="V3" s="7">
        <v>33.52</v>
      </c>
      <c r="W3" s="7">
        <v>33.97</v>
      </c>
      <c r="X3" s="7">
        <v>34.13</v>
      </c>
      <c r="Y3" s="7">
        <v>34.41</v>
      </c>
      <c r="Z3" s="7">
        <v>34.44</v>
      </c>
      <c r="AA3" s="7">
        <v>34.71</v>
      </c>
      <c r="AB3" s="7">
        <v>34.7</v>
      </c>
      <c r="AC3" s="7">
        <v>35.02</v>
      </c>
    </row>
    <row r="4">
      <c r="A4" s="14" t="s">
        <v>58</v>
      </c>
      <c r="B4" s="14" t="s">
        <v>55</v>
      </c>
      <c r="C4" s="14" t="s">
        <v>56</v>
      </c>
      <c r="D4" s="19">
        <v>27.97</v>
      </c>
      <c r="E4" s="19">
        <v>28.33</v>
      </c>
      <c r="F4" s="19">
        <v>28.28</v>
      </c>
      <c r="G4" s="19">
        <v>28.27</v>
      </c>
      <c r="H4" s="19">
        <v>29.46</v>
      </c>
      <c r="I4" s="19">
        <v>28.59</v>
      </c>
      <c r="J4" s="19">
        <v>28.64</v>
      </c>
      <c r="K4" s="19">
        <v>28.62</v>
      </c>
      <c r="L4" s="19">
        <v>29.47</v>
      </c>
      <c r="M4" s="19">
        <v>29.29</v>
      </c>
      <c r="N4" s="19">
        <v>29.17</v>
      </c>
      <c r="O4" s="19">
        <v>29.43</v>
      </c>
      <c r="P4" s="19">
        <v>29.7</v>
      </c>
      <c r="Q4" s="19">
        <v>30.28</v>
      </c>
      <c r="R4" s="19">
        <v>30.18</v>
      </c>
      <c r="S4" s="19">
        <v>30.59</v>
      </c>
      <c r="T4" s="19">
        <v>31.09</v>
      </c>
      <c r="U4" s="7">
        <v>30.57</v>
      </c>
      <c r="V4" s="7">
        <v>31.1</v>
      </c>
      <c r="W4" s="7">
        <v>31.22</v>
      </c>
      <c r="X4" s="7">
        <v>30.78</v>
      </c>
      <c r="Y4" s="7">
        <v>31.03</v>
      </c>
      <c r="Z4" s="7">
        <v>31.15</v>
      </c>
      <c r="AA4" s="7">
        <v>31.24</v>
      </c>
      <c r="AB4" s="7">
        <v>31.55</v>
      </c>
      <c r="AC4" s="7">
        <v>32.15</v>
      </c>
    </row>
    <row r="5">
      <c r="A5" s="14" t="s">
        <v>59</v>
      </c>
      <c r="B5" s="14" t="s">
        <v>55</v>
      </c>
      <c r="C5" s="14" t="s">
        <v>60</v>
      </c>
      <c r="D5" s="19">
        <v>21.56</v>
      </c>
      <c r="E5" s="19">
        <v>21.56</v>
      </c>
      <c r="F5" s="19">
        <v>22.02</v>
      </c>
      <c r="G5" s="19">
        <v>23.01</v>
      </c>
      <c r="H5" s="19">
        <v>21.63</v>
      </c>
      <c r="I5" s="19">
        <v>22.49</v>
      </c>
      <c r="J5" s="19">
        <v>21.56</v>
      </c>
      <c r="K5" s="19">
        <v>22.03</v>
      </c>
      <c r="L5" s="19">
        <v>21.77</v>
      </c>
      <c r="M5" s="19">
        <v>21.9</v>
      </c>
      <c r="N5" s="19">
        <v>22.25</v>
      </c>
      <c r="O5" s="19">
        <v>22.03</v>
      </c>
      <c r="P5" s="19">
        <v>22.67</v>
      </c>
      <c r="Q5" s="19">
        <v>22.62</v>
      </c>
      <c r="R5" s="19">
        <v>22.47</v>
      </c>
      <c r="S5" s="19">
        <v>22.6</v>
      </c>
      <c r="T5" s="19">
        <v>23.02</v>
      </c>
      <c r="U5" s="7">
        <v>22.7</v>
      </c>
      <c r="V5" s="7">
        <v>23.0</v>
      </c>
      <c r="W5" s="7">
        <v>23.37</v>
      </c>
      <c r="X5" s="7">
        <v>23.17</v>
      </c>
      <c r="Y5" s="7">
        <v>23.29</v>
      </c>
      <c r="Z5" s="7">
        <v>24.32</v>
      </c>
      <c r="AA5" s="7">
        <v>24.0</v>
      </c>
      <c r="AB5" s="7">
        <v>26.13</v>
      </c>
      <c r="AC5" s="7">
        <v>26.97</v>
      </c>
    </row>
    <row r="6">
      <c r="A6" s="14" t="s">
        <v>61</v>
      </c>
      <c r="B6" s="14" t="s">
        <v>55</v>
      </c>
      <c r="C6" s="14" t="s">
        <v>60</v>
      </c>
      <c r="D6" s="19">
        <v>24.27</v>
      </c>
      <c r="E6" s="19">
        <v>25.0</v>
      </c>
      <c r="F6" s="19">
        <v>26.22</v>
      </c>
      <c r="G6" s="19">
        <v>26.15</v>
      </c>
      <c r="H6" s="19">
        <v>25.11</v>
      </c>
      <c r="I6" s="19">
        <v>25.98</v>
      </c>
      <c r="J6" s="19">
        <v>25.52</v>
      </c>
      <c r="K6" s="19">
        <v>26.24</v>
      </c>
      <c r="L6" s="19">
        <v>27.27</v>
      </c>
      <c r="M6" s="19">
        <v>27.65</v>
      </c>
      <c r="N6" s="19">
        <v>26.01</v>
      </c>
      <c r="O6" s="19">
        <v>26.99</v>
      </c>
      <c r="P6" s="19">
        <v>27.42</v>
      </c>
      <c r="Q6" s="19">
        <v>27.58</v>
      </c>
      <c r="R6" s="19">
        <v>28.01</v>
      </c>
      <c r="S6" s="19">
        <v>28.36</v>
      </c>
      <c r="T6" s="19">
        <v>28.02</v>
      </c>
      <c r="U6" s="7">
        <v>28.44</v>
      </c>
      <c r="V6" s="7">
        <v>27.61</v>
      </c>
      <c r="W6" s="7">
        <v>27.99</v>
      </c>
      <c r="X6" s="7">
        <v>26.24</v>
      </c>
      <c r="Y6" s="7">
        <v>29.25</v>
      </c>
      <c r="Z6" s="7">
        <v>29.72</v>
      </c>
      <c r="AA6" s="7">
        <v>30.02</v>
      </c>
      <c r="AB6" s="7">
        <v>30.29</v>
      </c>
      <c r="AC6" s="7">
        <v>30.0</v>
      </c>
    </row>
    <row r="7">
      <c r="A7" s="14" t="s">
        <v>62</v>
      </c>
      <c r="B7" s="14" t="s">
        <v>55</v>
      </c>
      <c r="C7" s="14" t="s">
        <v>60</v>
      </c>
      <c r="D7" s="19">
        <v>21.63</v>
      </c>
      <c r="E7" s="19">
        <v>21.55</v>
      </c>
      <c r="F7" s="19">
        <v>21.21</v>
      </c>
      <c r="G7" s="19">
        <v>21.97</v>
      </c>
      <c r="H7" s="19">
        <v>20.41</v>
      </c>
      <c r="I7" s="19">
        <v>21.19</v>
      </c>
      <c r="J7" s="19">
        <v>20.26</v>
      </c>
      <c r="K7" s="19">
        <v>20.61</v>
      </c>
      <c r="L7" s="19">
        <v>20.48</v>
      </c>
      <c r="M7" s="19">
        <v>20.54</v>
      </c>
      <c r="N7" s="19">
        <v>20.4</v>
      </c>
      <c r="O7" s="19">
        <v>20.31</v>
      </c>
      <c r="P7" s="19">
        <v>20.97</v>
      </c>
      <c r="Q7" s="19">
        <v>21.22</v>
      </c>
      <c r="R7" s="19">
        <v>21.63</v>
      </c>
      <c r="S7" s="19">
        <v>22.03</v>
      </c>
      <c r="T7" s="19">
        <v>22.02</v>
      </c>
      <c r="U7" s="7">
        <v>22.45</v>
      </c>
      <c r="V7" s="7">
        <v>21.77</v>
      </c>
      <c r="W7" s="7">
        <v>21.97</v>
      </c>
      <c r="X7" s="7">
        <v>22.17</v>
      </c>
      <c r="Y7" s="7">
        <v>22.28</v>
      </c>
      <c r="Z7" s="7">
        <v>22.25</v>
      </c>
      <c r="AA7" s="7">
        <v>22.13</v>
      </c>
      <c r="AB7" s="7">
        <v>22.3</v>
      </c>
      <c r="AC7" s="7">
        <v>23.51</v>
      </c>
    </row>
    <row r="8">
      <c r="A8" s="14" t="s">
        <v>63</v>
      </c>
      <c r="B8" s="14" t="s">
        <v>64</v>
      </c>
      <c r="C8" s="14" t="s">
        <v>56</v>
      </c>
      <c r="D8" s="19">
        <v>28.46</v>
      </c>
      <c r="E8" s="19">
        <v>28.33</v>
      </c>
      <c r="F8" s="19">
        <v>29.39</v>
      </c>
      <c r="G8" s="19">
        <v>29.02</v>
      </c>
      <c r="H8" s="19">
        <v>27.18</v>
      </c>
      <c r="I8" s="19">
        <v>28.77</v>
      </c>
      <c r="J8" s="19">
        <v>29.32</v>
      </c>
      <c r="K8" s="19">
        <v>28.49</v>
      </c>
      <c r="L8" s="19">
        <v>29.3</v>
      </c>
      <c r="M8" s="19">
        <v>29.62</v>
      </c>
      <c r="N8" s="19">
        <v>29.33</v>
      </c>
      <c r="O8" s="19">
        <v>29.33</v>
      </c>
      <c r="P8" s="19">
        <v>29.2</v>
      </c>
      <c r="Q8" s="19">
        <v>29.02</v>
      </c>
      <c r="R8" s="19">
        <v>29.11</v>
      </c>
      <c r="S8" s="19">
        <v>29.69</v>
      </c>
      <c r="T8" s="19">
        <v>29.99</v>
      </c>
      <c r="U8" s="7">
        <v>29.28</v>
      </c>
      <c r="V8" s="7">
        <v>29.03</v>
      </c>
      <c r="W8" s="7">
        <v>29.78</v>
      </c>
      <c r="X8" s="7">
        <v>29.65</v>
      </c>
      <c r="Y8" s="7">
        <v>29.66</v>
      </c>
      <c r="Z8" s="7">
        <v>29.3</v>
      </c>
      <c r="AA8" s="7">
        <v>29.21</v>
      </c>
      <c r="AB8" s="7">
        <v>28.67</v>
      </c>
      <c r="AC8" s="7">
        <v>29.0</v>
      </c>
    </row>
    <row r="9">
      <c r="A9" s="14" t="s">
        <v>65</v>
      </c>
      <c r="B9" s="14" t="s">
        <v>64</v>
      </c>
      <c r="C9" s="14" t="s">
        <v>56</v>
      </c>
      <c r="D9" s="19">
        <v>26.61</v>
      </c>
      <c r="E9" s="19">
        <v>27.13</v>
      </c>
      <c r="F9" s="19">
        <v>27.42</v>
      </c>
      <c r="G9" s="19">
        <v>27.44</v>
      </c>
      <c r="H9" s="19">
        <v>28.68</v>
      </c>
      <c r="I9" s="19">
        <v>27.44</v>
      </c>
      <c r="J9" s="19">
        <v>27.45</v>
      </c>
      <c r="K9" s="19">
        <v>27.5</v>
      </c>
      <c r="L9" s="19">
        <v>27.67</v>
      </c>
      <c r="M9" s="19">
        <v>27.52</v>
      </c>
      <c r="N9" s="19">
        <v>27.3</v>
      </c>
      <c r="O9" s="19">
        <v>28.01</v>
      </c>
      <c r="P9" s="19">
        <v>27.73</v>
      </c>
      <c r="Q9" s="19">
        <v>28.11</v>
      </c>
      <c r="R9" s="19">
        <v>28.31</v>
      </c>
      <c r="S9" s="19">
        <v>28.23</v>
      </c>
      <c r="T9" s="19">
        <v>28.13</v>
      </c>
      <c r="U9" s="7">
        <v>27.7</v>
      </c>
      <c r="V9" s="7">
        <v>27.76</v>
      </c>
      <c r="W9" s="7">
        <v>28.45</v>
      </c>
      <c r="X9" s="7">
        <v>28.21</v>
      </c>
      <c r="Y9" s="7">
        <v>28.28</v>
      </c>
      <c r="Z9" s="7">
        <v>28.33</v>
      </c>
      <c r="AA9" s="7">
        <v>28.31</v>
      </c>
      <c r="AB9" s="7">
        <v>28.02</v>
      </c>
      <c r="AC9" s="7">
        <v>28.29</v>
      </c>
    </row>
    <row r="10">
      <c r="A10" s="14" t="s">
        <v>66</v>
      </c>
      <c r="B10" s="14" t="s">
        <v>64</v>
      </c>
      <c r="C10" s="14" t="s">
        <v>60</v>
      </c>
      <c r="D10" s="19">
        <v>20.39</v>
      </c>
      <c r="E10" s="19">
        <v>20.27</v>
      </c>
      <c r="F10" s="19">
        <v>20.36</v>
      </c>
      <c r="G10" s="19">
        <v>20.21</v>
      </c>
      <c r="H10" s="19">
        <v>19.68</v>
      </c>
      <c r="I10" s="19">
        <v>20.0</v>
      </c>
      <c r="J10" s="19">
        <v>20.29</v>
      </c>
      <c r="K10" s="19">
        <v>20.18</v>
      </c>
      <c r="L10" s="19">
        <v>20.12</v>
      </c>
      <c r="M10" s="19">
        <v>20.41</v>
      </c>
      <c r="N10" s="19">
        <v>20.67</v>
      </c>
      <c r="O10" s="19">
        <v>20.55</v>
      </c>
      <c r="P10" s="19">
        <v>20.98</v>
      </c>
      <c r="Q10" s="19">
        <v>20.56</v>
      </c>
      <c r="R10" s="19">
        <v>20.84</v>
      </c>
      <c r="S10" s="19">
        <v>20.74</v>
      </c>
      <c r="T10" s="19">
        <v>21.69</v>
      </c>
      <c r="U10" s="7">
        <v>20.5</v>
      </c>
      <c r="V10" s="7">
        <v>20.99</v>
      </c>
      <c r="W10" s="7">
        <v>21.41</v>
      </c>
      <c r="X10" s="7">
        <v>21.11</v>
      </c>
      <c r="Y10" s="7">
        <v>20.33</v>
      </c>
      <c r="Z10" s="7">
        <v>21.03</v>
      </c>
      <c r="AA10" s="7">
        <v>21.03</v>
      </c>
      <c r="AB10" s="7">
        <v>21.0</v>
      </c>
      <c r="AC10" s="7">
        <v>21.03</v>
      </c>
    </row>
    <row r="11">
      <c r="A11" s="14" t="s">
        <v>67</v>
      </c>
      <c r="B11" s="14" t="s">
        <v>64</v>
      </c>
      <c r="C11" s="14" t="s">
        <v>60</v>
      </c>
      <c r="D11" s="19">
        <v>18.43</v>
      </c>
      <c r="E11" s="19">
        <v>18.51</v>
      </c>
      <c r="F11" s="19">
        <v>18.62</v>
      </c>
      <c r="G11" s="19">
        <v>19.01</v>
      </c>
      <c r="H11" s="19">
        <v>18.75</v>
      </c>
      <c r="I11" s="19">
        <v>19.14</v>
      </c>
      <c r="J11" s="19">
        <v>19.5</v>
      </c>
      <c r="K11" s="19">
        <v>19.02</v>
      </c>
      <c r="L11" s="19">
        <v>19.52</v>
      </c>
      <c r="M11" s="19">
        <v>19.26</v>
      </c>
      <c r="N11" s="19">
        <v>19.44</v>
      </c>
      <c r="O11" s="19">
        <v>19.71</v>
      </c>
      <c r="P11" s="19">
        <v>19.99</v>
      </c>
      <c r="Q11" s="19">
        <v>19.99</v>
      </c>
      <c r="R11" s="19">
        <v>20.29</v>
      </c>
      <c r="S11" s="19">
        <v>19.88</v>
      </c>
      <c r="T11" s="19">
        <v>20.29</v>
      </c>
      <c r="U11" s="7">
        <v>19.72</v>
      </c>
      <c r="V11" s="7">
        <v>20.03</v>
      </c>
      <c r="W11" s="7">
        <v>20.16</v>
      </c>
      <c r="X11" s="7">
        <v>20.25</v>
      </c>
      <c r="Y11" s="7">
        <v>21.26</v>
      </c>
      <c r="Z11" s="7">
        <v>19.81</v>
      </c>
      <c r="AA11" s="7">
        <v>20.34</v>
      </c>
      <c r="AB11" s="7">
        <v>19.79</v>
      </c>
      <c r="AC11" s="7">
        <v>20.61</v>
      </c>
    </row>
    <row r="12">
      <c r="S12" s="14"/>
      <c r="T12" s="14"/>
    </row>
    <row r="13">
      <c r="S13" s="14"/>
      <c r="T13" s="14"/>
    </row>
    <row r="14">
      <c r="S14" s="14"/>
      <c r="T14" s="14"/>
    </row>
    <row r="15">
      <c r="S15" s="14"/>
      <c r="T15" s="14"/>
    </row>
    <row r="16">
      <c r="S16" s="14"/>
      <c r="T16" s="14"/>
    </row>
    <row r="17">
      <c r="S17" s="14"/>
      <c r="T17" s="14"/>
    </row>
    <row r="18">
      <c r="S18" s="14"/>
      <c r="T18" s="14"/>
    </row>
    <row r="19">
      <c r="S19" s="14"/>
      <c r="T19" s="14"/>
    </row>
    <row r="20">
      <c r="S20" s="14"/>
      <c r="T20" s="14"/>
    </row>
    <row r="21">
      <c r="S21" s="14"/>
      <c r="T21" s="14"/>
    </row>
    <row r="22">
      <c r="S22" s="14"/>
      <c r="T22" s="14"/>
    </row>
    <row r="23">
      <c r="S23" s="14"/>
      <c r="T23" s="14"/>
    </row>
    <row r="24">
      <c r="S24" s="14"/>
      <c r="T24" s="14"/>
    </row>
    <row r="25">
      <c r="S25" s="14"/>
      <c r="T25" s="14"/>
    </row>
    <row r="26">
      <c r="S26" s="14"/>
      <c r="T26" s="14"/>
    </row>
    <row r="27">
      <c r="S27" s="14"/>
      <c r="T27" s="14"/>
    </row>
    <row r="28">
      <c r="S28" s="14"/>
      <c r="T28" s="14"/>
    </row>
    <row r="29">
      <c r="S29" s="14"/>
      <c r="T29" s="14"/>
    </row>
    <row r="30">
      <c r="S30" s="14"/>
      <c r="T30" s="14"/>
    </row>
    <row r="31">
      <c r="S31" s="14"/>
      <c r="T31" s="14"/>
    </row>
    <row r="32">
      <c r="S32" s="14"/>
      <c r="T32" s="14"/>
    </row>
    <row r="33">
      <c r="S33" s="14"/>
      <c r="T33" s="14"/>
    </row>
    <row r="34">
      <c r="S34" s="14"/>
      <c r="T34" s="14"/>
    </row>
    <row r="35">
      <c r="S35" s="14"/>
      <c r="T35" s="14"/>
    </row>
    <row r="36">
      <c r="S36" s="14"/>
      <c r="T36" s="14"/>
    </row>
    <row r="37">
      <c r="S37" s="14"/>
      <c r="T37" s="14"/>
    </row>
    <row r="38">
      <c r="S38" s="14"/>
      <c r="T38" s="14"/>
    </row>
    <row r="39">
      <c r="S39" s="14"/>
      <c r="T39" s="14"/>
    </row>
    <row r="40">
      <c r="S40" s="14"/>
      <c r="T40" s="14"/>
    </row>
    <row r="41">
      <c r="S41" s="14"/>
      <c r="T41" s="14"/>
    </row>
    <row r="42">
      <c r="S42" s="14"/>
      <c r="T42" s="14"/>
    </row>
    <row r="43">
      <c r="S43" s="14"/>
      <c r="T43" s="14"/>
    </row>
    <row r="44">
      <c r="S44" s="14"/>
      <c r="T44" s="14"/>
    </row>
    <row r="45">
      <c r="S45" s="14"/>
      <c r="T45" s="14"/>
    </row>
    <row r="46">
      <c r="S46" s="14"/>
      <c r="T46" s="14"/>
    </row>
    <row r="47">
      <c r="S47" s="14"/>
      <c r="T47" s="14"/>
    </row>
    <row r="48">
      <c r="S48" s="14"/>
      <c r="T48" s="14"/>
    </row>
    <row r="49">
      <c r="S49" s="14"/>
      <c r="T49" s="14"/>
    </row>
    <row r="50">
      <c r="S50" s="14"/>
      <c r="T50" s="14"/>
    </row>
    <row r="51">
      <c r="S51" s="14"/>
      <c r="T51" s="14"/>
    </row>
    <row r="52">
      <c r="S52" s="14"/>
      <c r="T52" s="14"/>
    </row>
    <row r="53">
      <c r="S53" s="14"/>
      <c r="T53" s="14"/>
    </row>
    <row r="54">
      <c r="S54" s="14"/>
      <c r="T54" s="14"/>
    </row>
    <row r="55">
      <c r="S55" s="14"/>
      <c r="T55" s="14"/>
    </row>
    <row r="56">
      <c r="S56" s="14"/>
      <c r="T56" s="14"/>
    </row>
    <row r="57">
      <c r="S57" s="14"/>
      <c r="T57" s="14"/>
    </row>
    <row r="58">
      <c r="S58" s="14"/>
      <c r="T58" s="14"/>
    </row>
    <row r="59">
      <c r="S59" s="14"/>
      <c r="T59" s="14"/>
    </row>
    <row r="60">
      <c r="S60" s="14"/>
      <c r="T60" s="14"/>
    </row>
    <row r="61">
      <c r="S61" s="14"/>
      <c r="T61" s="14"/>
    </row>
    <row r="62">
      <c r="S62" s="14"/>
      <c r="T62" s="14"/>
    </row>
    <row r="63">
      <c r="S63" s="14"/>
      <c r="T63" s="14"/>
    </row>
    <row r="64">
      <c r="S64" s="14"/>
      <c r="T64" s="14"/>
    </row>
    <row r="65">
      <c r="S65" s="14"/>
      <c r="T65" s="14"/>
    </row>
    <row r="66">
      <c r="S66" s="14"/>
      <c r="T66" s="14"/>
    </row>
    <row r="67">
      <c r="S67" s="14"/>
      <c r="T67" s="14"/>
    </row>
    <row r="68">
      <c r="S68" s="14"/>
      <c r="T68" s="14"/>
    </row>
    <row r="69">
      <c r="S69" s="14"/>
      <c r="T69" s="14"/>
    </row>
    <row r="70">
      <c r="S70" s="14"/>
      <c r="T70" s="14"/>
    </row>
    <row r="71">
      <c r="S71" s="14"/>
      <c r="T71" s="14"/>
    </row>
    <row r="72">
      <c r="S72" s="14"/>
      <c r="T72" s="14"/>
    </row>
    <row r="73">
      <c r="S73" s="14"/>
      <c r="T73" s="14"/>
    </row>
    <row r="74">
      <c r="S74" s="14"/>
      <c r="T74" s="14"/>
    </row>
    <row r="75">
      <c r="S75" s="14"/>
      <c r="T75" s="14"/>
    </row>
    <row r="76">
      <c r="S76" s="14"/>
      <c r="T76" s="14"/>
    </row>
    <row r="77">
      <c r="S77" s="14"/>
      <c r="T77" s="14"/>
    </row>
    <row r="78">
      <c r="S78" s="14"/>
      <c r="T78" s="14"/>
    </row>
    <row r="79">
      <c r="S79" s="14"/>
      <c r="T79" s="14"/>
    </row>
    <row r="80">
      <c r="S80" s="14"/>
      <c r="T80" s="14"/>
    </row>
    <row r="81">
      <c r="S81" s="14"/>
      <c r="T81" s="14"/>
    </row>
    <row r="82">
      <c r="S82" s="14"/>
      <c r="T82" s="14"/>
    </row>
    <row r="83">
      <c r="S83" s="14"/>
      <c r="T83" s="14"/>
    </row>
    <row r="84">
      <c r="S84" s="14"/>
      <c r="T84" s="14"/>
    </row>
    <row r="85">
      <c r="S85" s="14"/>
      <c r="T85" s="14"/>
    </row>
    <row r="86">
      <c r="S86" s="14"/>
      <c r="T86" s="14"/>
    </row>
    <row r="87">
      <c r="S87" s="14"/>
      <c r="T87" s="14"/>
    </row>
    <row r="88">
      <c r="S88" s="14"/>
      <c r="T88" s="14"/>
    </row>
    <row r="89">
      <c r="S89" s="14"/>
      <c r="T89" s="14"/>
    </row>
    <row r="90">
      <c r="S90" s="14"/>
      <c r="T90" s="14"/>
    </row>
    <row r="91">
      <c r="S91" s="14"/>
      <c r="T91" s="14"/>
    </row>
    <row r="92">
      <c r="S92" s="14"/>
      <c r="T92" s="14"/>
    </row>
    <row r="93">
      <c r="S93" s="14"/>
      <c r="T93" s="14"/>
    </row>
    <row r="94">
      <c r="S94" s="14"/>
      <c r="T94" s="14"/>
    </row>
    <row r="95">
      <c r="S95" s="14"/>
      <c r="T95" s="14"/>
    </row>
    <row r="96">
      <c r="S96" s="14"/>
      <c r="T96" s="14"/>
    </row>
    <row r="97">
      <c r="S97" s="14"/>
      <c r="T97" s="14"/>
    </row>
    <row r="98">
      <c r="S98" s="14"/>
      <c r="T98" s="14"/>
    </row>
    <row r="99">
      <c r="S99" s="14"/>
      <c r="T99" s="14"/>
    </row>
    <row r="100">
      <c r="S100" s="14"/>
      <c r="T100" s="14"/>
    </row>
    <row r="101">
      <c r="S101" s="14"/>
      <c r="T101" s="14"/>
    </row>
    <row r="102">
      <c r="S102" s="14"/>
      <c r="T102" s="14"/>
    </row>
    <row r="103">
      <c r="S103" s="14"/>
      <c r="T103" s="14"/>
    </row>
    <row r="104">
      <c r="S104" s="14"/>
      <c r="T104" s="14"/>
    </row>
    <row r="105">
      <c r="S105" s="14"/>
      <c r="T105" s="14"/>
    </row>
    <row r="106">
      <c r="S106" s="14"/>
      <c r="T106" s="14"/>
    </row>
    <row r="107">
      <c r="S107" s="14"/>
      <c r="T107" s="14"/>
    </row>
    <row r="108">
      <c r="S108" s="14"/>
      <c r="T108" s="14"/>
    </row>
    <row r="109">
      <c r="S109" s="14"/>
      <c r="T109" s="14"/>
    </row>
    <row r="110">
      <c r="S110" s="14"/>
      <c r="T110" s="14"/>
    </row>
    <row r="111">
      <c r="S111" s="14"/>
      <c r="T111" s="14"/>
    </row>
    <row r="112">
      <c r="S112" s="14"/>
      <c r="T112" s="14"/>
    </row>
    <row r="113">
      <c r="S113" s="14"/>
      <c r="T113" s="14"/>
    </row>
    <row r="114">
      <c r="S114" s="14"/>
      <c r="T114" s="14"/>
    </row>
    <row r="115">
      <c r="S115" s="14"/>
      <c r="T115" s="14"/>
    </row>
    <row r="116">
      <c r="S116" s="14"/>
      <c r="T116" s="14"/>
    </row>
    <row r="117">
      <c r="S117" s="14"/>
      <c r="T117" s="14"/>
    </row>
    <row r="118">
      <c r="S118" s="14"/>
      <c r="T118" s="14"/>
    </row>
    <row r="119">
      <c r="S119" s="14"/>
      <c r="T119" s="14"/>
    </row>
    <row r="120">
      <c r="S120" s="14"/>
      <c r="T120" s="14"/>
    </row>
    <row r="121">
      <c r="S121" s="14"/>
      <c r="T121" s="14"/>
    </row>
    <row r="122">
      <c r="S122" s="14"/>
      <c r="T122" s="14"/>
    </row>
    <row r="123">
      <c r="S123" s="14"/>
      <c r="T123" s="14"/>
    </row>
    <row r="124">
      <c r="S124" s="14"/>
      <c r="T124" s="14"/>
    </row>
    <row r="125">
      <c r="S125" s="14"/>
      <c r="T125" s="14"/>
    </row>
    <row r="126">
      <c r="S126" s="14"/>
      <c r="T126" s="14"/>
    </row>
    <row r="127">
      <c r="S127" s="14"/>
      <c r="T127" s="14"/>
    </row>
    <row r="128">
      <c r="S128" s="14"/>
      <c r="T128" s="14"/>
    </row>
    <row r="129">
      <c r="S129" s="14"/>
      <c r="T129" s="14"/>
    </row>
    <row r="130">
      <c r="S130" s="14"/>
      <c r="T130" s="14"/>
    </row>
    <row r="131">
      <c r="S131" s="14"/>
      <c r="T131" s="14"/>
    </row>
    <row r="132">
      <c r="S132" s="14"/>
      <c r="T132" s="14"/>
    </row>
    <row r="133">
      <c r="S133" s="14"/>
      <c r="T133" s="14"/>
    </row>
    <row r="134">
      <c r="S134" s="14"/>
      <c r="T134" s="14"/>
    </row>
    <row r="135">
      <c r="S135" s="14"/>
      <c r="T135" s="14"/>
    </row>
    <row r="136">
      <c r="S136" s="14"/>
      <c r="T136" s="14"/>
    </row>
    <row r="137">
      <c r="S137" s="14"/>
      <c r="T137" s="14"/>
    </row>
    <row r="138">
      <c r="S138" s="14"/>
      <c r="T138" s="14"/>
    </row>
    <row r="139">
      <c r="S139" s="14"/>
      <c r="T139" s="14"/>
    </row>
    <row r="140">
      <c r="S140" s="14"/>
      <c r="T140" s="14"/>
    </row>
    <row r="141">
      <c r="S141" s="14"/>
      <c r="T141" s="14"/>
    </row>
    <row r="142">
      <c r="S142" s="14"/>
      <c r="T142" s="14"/>
    </row>
    <row r="143">
      <c r="S143" s="14"/>
      <c r="T143" s="14"/>
    </row>
    <row r="144">
      <c r="S144" s="14"/>
      <c r="T144" s="14"/>
    </row>
    <row r="145">
      <c r="S145" s="14"/>
      <c r="T145" s="14"/>
    </row>
    <row r="146">
      <c r="S146" s="14"/>
      <c r="T146" s="14"/>
    </row>
    <row r="147">
      <c r="S147" s="14"/>
      <c r="T147" s="14"/>
    </row>
    <row r="148">
      <c r="S148" s="14"/>
      <c r="T148" s="14"/>
    </row>
    <row r="149">
      <c r="S149" s="14"/>
      <c r="T149" s="14"/>
    </row>
    <row r="150">
      <c r="S150" s="14"/>
      <c r="T150" s="14"/>
    </row>
    <row r="151">
      <c r="S151" s="14"/>
      <c r="T151" s="14"/>
    </row>
    <row r="152">
      <c r="S152" s="14"/>
      <c r="T152" s="14"/>
    </row>
    <row r="153">
      <c r="S153" s="14"/>
      <c r="T153" s="14"/>
    </row>
    <row r="154">
      <c r="S154" s="14"/>
      <c r="T154" s="14"/>
    </row>
    <row r="155">
      <c r="S155" s="14"/>
      <c r="T155" s="14"/>
    </row>
    <row r="156">
      <c r="S156" s="14"/>
      <c r="T156" s="14"/>
    </row>
    <row r="157">
      <c r="S157" s="14"/>
      <c r="T157" s="14"/>
    </row>
    <row r="158">
      <c r="S158" s="14"/>
      <c r="T158" s="14"/>
    </row>
    <row r="159">
      <c r="S159" s="14"/>
      <c r="T159" s="14"/>
    </row>
    <row r="160">
      <c r="S160" s="14"/>
      <c r="T160" s="14"/>
    </row>
    <row r="161">
      <c r="S161" s="14"/>
      <c r="T161" s="14"/>
    </row>
    <row r="162">
      <c r="S162" s="14"/>
      <c r="T162" s="14"/>
    </row>
    <row r="163">
      <c r="S163" s="14"/>
      <c r="T163" s="14"/>
    </row>
    <row r="164">
      <c r="S164" s="14"/>
      <c r="T164" s="14"/>
    </row>
    <row r="165">
      <c r="S165" s="14"/>
      <c r="T165" s="14"/>
    </row>
    <row r="166">
      <c r="S166" s="14"/>
      <c r="T166" s="14"/>
    </row>
    <row r="167">
      <c r="S167" s="14"/>
      <c r="T167" s="14"/>
    </row>
    <row r="168">
      <c r="S168" s="14"/>
      <c r="T168" s="14"/>
    </row>
    <row r="169">
      <c r="S169" s="14"/>
      <c r="T169" s="14"/>
    </row>
    <row r="170">
      <c r="S170" s="14"/>
      <c r="T170" s="14"/>
    </row>
    <row r="171">
      <c r="S171" s="14"/>
      <c r="T171" s="14"/>
    </row>
    <row r="172">
      <c r="S172" s="14"/>
      <c r="T172" s="14"/>
    </row>
    <row r="173">
      <c r="S173" s="14"/>
      <c r="T173" s="14"/>
    </row>
    <row r="174">
      <c r="S174" s="14"/>
      <c r="T174" s="14"/>
    </row>
    <row r="175">
      <c r="S175" s="14"/>
      <c r="T175" s="14"/>
    </row>
    <row r="176">
      <c r="S176" s="14"/>
      <c r="T176" s="14"/>
    </row>
    <row r="177">
      <c r="S177" s="14"/>
      <c r="T177" s="14"/>
    </row>
    <row r="178">
      <c r="S178" s="14"/>
      <c r="T178" s="14"/>
    </row>
    <row r="179">
      <c r="S179" s="14"/>
      <c r="T179" s="14"/>
    </row>
    <row r="180">
      <c r="S180" s="14"/>
      <c r="T180" s="14"/>
    </row>
    <row r="181">
      <c r="S181" s="14"/>
      <c r="T181" s="14"/>
    </row>
    <row r="182">
      <c r="S182" s="14"/>
      <c r="T182" s="14"/>
    </row>
    <row r="183">
      <c r="S183" s="14"/>
      <c r="T183" s="14"/>
    </row>
    <row r="184">
      <c r="S184" s="14"/>
      <c r="T184" s="14"/>
    </row>
    <row r="185">
      <c r="S185" s="14"/>
      <c r="T185" s="14"/>
    </row>
    <row r="186">
      <c r="S186" s="14"/>
      <c r="T186" s="14"/>
    </row>
    <row r="187">
      <c r="S187" s="14"/>
      <c r="T187" s="14"/>
    </row>
    <row r="188">
      <c r="S188" s="14"/>
      <c r="T188" s="14"/>
    </row>
    <row r="189">
      <c r="S189" s="14"/>
      <c r="T189" s="14"/>
    </row>
    <row r="190">
      <c r="S190" s="14"/>
      <c r="T190" s="14"/>
    </row>
    <row r="191">
      <c r="S191" s="14"/>
      <c r="T191" s="14"/>
    </row>
    <row r="192">
      <c r="S192" s="14"/>
      <c r="T192" s="14"/>
    </row>
    <row r="193">
      <c r="S193" s="14"/>
      <c r="T193" s="14"/>
    </row>
    <row r="194">
      <c r="S194" s="14"/>
      <c r="T194" s="14"/>
    </row>
    <row r="195">
      <c r="S195" s="14"/>
      <c r="T195" s="14"/>
    </row>
    <row r="196">
      <c r="S196" s="14"/>
      <c r="T196" s="14"/>
    </row>
    <row r="197">
      <c r="S197" s="14"/>
      <c r="T197" s="14"/>
    </row>
    <row r="198">
      <c r="S198" s="14"/>
      <c r="T198" s="14"/>
    </row>
    <row r="199">
      <c r="S199" s="14"/>
      <c r="T199" s="14"/>
    </row>
    <row r="200">
      <c r="S200" s="14"/>
      <c r="T200" s="14"/>
    </row>
    <row r="201">
      <c r="S201" s="14"/>
      <c r="T201" s="14"/>
    </row>
    <row r="202">
      <c r="S202" s="14"/>
      <c r="T202" s="14"/>
    </row>
    <row r="203">
      <c r="S203" s="14"/>
      <c r="T203" s="14"/>
    </row>
    <row r="204">
      <c r="S204" s="14"/>
      <c r="T204" s="14"/>
    </row>
    <row r="205">
      <c r="S205" s="14"/>
      <c r="T205" s="14"/>
    </row>
    <row r="206">
      <c r="S206" s="14"/>
      <c r="T206" s="14"/>
    </row>
    <row r="207">
      <c r="S207" s="14"/>
      <c r="T207" s="14"/>
    </row>
    <row r="208">
      <c r="S208" s="14"/>
      <c r="T208" s="14"/>
    </row>
    <row r="209">
      <c r="S209" s="14"/>
      <c r="T209" s="14"/>
    </row>
    <row r="210">
      <c r="S210" s="14"/>
      <c r="T210" s="14"/>
    </row>
    <row r="211">
      <c r="S211" s="14"/>
      <c r="T211" s="14"/>
    </row>
    <row r="212">
      <c r="S212" s="14"/>
      <c r="T212" s="14"/>
    </row>
    <row r="213">
      <c r="S213" s="14"/>
      <c r="T213" s="14"/>
    </row>
    <row r="214">
      <c r="S214" s="14"/>
      <c r="T214" s="14"/>
    </row>
    <row r="215">
      <c r="S215" s="14"/>
      <c r="T215" s="14"/>
    </row>
    <row r="216">
      <c r="S216" s="14"/>
      <c r="T216" s="14"/>
    </row>
    <row r="217">
      <c r="S217" s="14"/>
      <c r="T217" s="14"/>
    </row>
    <row r="218">
      <c r="S218" s="14"/>
      <c r="T218" s="14"/>
    </row>
    <row r="219">
      <c r="S219" s="14"/>
      <c r="T219" s="14"/>
    </row>
    <row r="220">
      <c r="S220" s="14"/>
      <c r="T220" s="14"/>
    </row>
    <row r="221">
      <c r="S221" s="14"/>
      <c r="T221" s="14"/>
    </row>
    <row r="222">
      <c r="S222" s="14"/>
      <c r="T222" s="14"/>
    </row>
    <row r="223">
      <c r="S223" s="14"/>
      <c r="T223" s="14"/>
    </row>
    <row r="224">
      <c r="S224" s="14"/>
      <c r="T224" s="14"/>
    </row>
    <row r="225">
      <c r="S225" s="14"/>
      <c r="T225" s="14"/>
    </row>
    <row r="226">
      <c r="S226" s="14"/>
      <c r="T226" s="14"/>
    </row>
    <row r="227">
      <c r="S227" s="14"/>
      <c r="T227" s="14"/>
    </row>
    <row r="228">
      <c r="S228" s="14"/>
      <c r="T228" s="14"/>
    </row>
    <row r="229">
      <c r="S229" s="14"/>
      <c r="T229" s="14"/>
    </row>
    <row r="230">
      <c r="S230" s="14"/>
      <c r="T230" s="14"/>
    </row>
    <row r="231">
      <c r="S231" s="14"/>
      <c r="T231" s="14"/>
    </row>
    <row r="232">
      <c r="S232" s="14"/>
      <c r="T232" s="14"/>
    </row>
    <row r="233">
      <c r="S233" s="14"/>
      <c r="T233" s="14"/>
    </row>
    <row r="234">
      <c r="S234" s="14"/>
      <c r="T234" s="14"/>
    </row>
    <row r="235">
      <c r="S235" s="14"/>
      <c r="T235" s="14"/>
    </row>
    <row r="236">
      <c r="S236" s="14"/>
      <c r="T236" s="14"/>
    </row>
    <row r="237">
      <c r="S237" s="14"/>
      <c r="T237" s="14"/>
    </row>
    <row r="238">
      <c r="S238" s="14"/>
      <c r="T238" s="14"/>
    </row>
    <row r="239">
      <c r="S239" s="14"/>
      <c r="T239" s="14"/>
    </row>
    <row r="240">
      <c r="S240" s="14"/>
      <c r="T240" s="14"/>
    </row>
    <row r="241">
      <c r="S241" s="14"/>
      <c r="T241" s="14"/>
    </row>
    <row r="242">
      <c r="S242" s="14"/>
      <c r="T242" s="14"/>
    </row>
    <row r="243">
      <c r="S243" s="14"/>
      <c r="T243" s="14"/>
    </row>
    <row r="244">
      <c r="S244" s="14"/>
      <c r="T244" s="14"/>
    </row>
    <row r="245">
      <c r="S245" s="14"/>
      <c r="T245" s="14"/>
    </row>
    <row r="246">
      <c r="S246" s="14"/>
      <c r="T246" s="14"/>
    </row>
    <row r="247">
      <c r="S247" s="14"/>
      <c r="T247" s="14"/>
    </row>
    <row r="248">
      <c r="S248" s="14"/>
      <c r="T248" s="14"/>
    </row>
    <row r="249">
      <c r="S249" s="14"/>
      <c r="T249" s="14"/>
    </row>
    <row r="250">
      <c r="S250" s="14"/>
      <c r="T250" s="14"/>
    </row>
    <row r="251">
      <c r="S251" s="14"/>
      <c r="T251" s="14"/>
    </row>
    <row r="252">
      <c r="S252" s="14"/>
      <c r="T252" s="14"/>
    </row>
    <row r="253">
      <c r="S253" s="14"/>
      <c r="T253" s="14"/>
    </row>
    <row r="254">
      <c r="S254" s="14"/>
      <c r="T254" s="14"/>
    </row>
    <row r="255">
      <c r="S255" s="14"/>
      <c r="T255" s="14"/>
    </row>
    <row r="256">
      <c r="S256" s="14"/>
      <c r="T256" s="14"/>
    </row>
    <row r="257">
      <c r="S257" s="14"/>
      <c r="T257" s="14"/>
    </row>
    <row r="258">
      <c r="S258" s="14"/>
      <c r="T258" s="14"/>
    </row>
    <row r="259">
      <c r="S259" s="14"/>
      <c r="T259" s="14"/>
    </row>
    <row r="260">
      <c r="S260" s="14"/>
      <c r="T260" s="14"/>
    </row>
    <row r="261">
      <c r="S261" s="14"/>
      <c r="T261" s="14"/>
    </row>
    <row r="262">
      <c r="S262" s="14"/>
      <c r="T262" s="14"/>
    </row>
    <row r="263">
      <c r="S263" s="14"/>
      <c r="T263" s="14"/>
    </row>
    <row r="264">
      <c r="S264" s="14"/>
      <c r="T264" s="14"/>
    </row>
    <row r="265">
      <c r="S265" s="14"/>
      <c r="T265" s="14"/>
    </row>
    <row r="266">
      <c r="S266" s="14"/>
      <c r="T266" s="14"/>
    </row>
    <row r="267">
      <c r="S267" s="14"/>
      <c r="T267" s="14"/>
    </row>
    <row r="268">
      <c r="S268" s="14"/>
      <c r="T268" s="14"/>
    </row>
    <row r="269">
      <c r="S269" s="14"/>
      <c r="T269" s="14"/>
    </row>
    <row r="270">
      <c r="S270" s="14"/>
      <c r="T270" s="14"/>
    </row>
    <row r="271">
      <c r="S271" s="14"/>
      <c r="T271" s="14"/>
    </row>
    <row r="272">
      <c r="S272" s="14"/>
      <c r="T272" s="14"/>
    </row>
    <row r="273">
      <c r="S273" s="14"/>
      <c r="T273" s="14"/>
    </row>
    <row r="274">
      <c r="S274" s="14"/>
      <c r="T274" s="14"/>
    </row>
    <row r="275">
      <c r="S275" s="14"/>
      <c r="T275" s="14"/>
    </row>
    <row r="276">
      <c r="S276" s="14"/>
      <c r="T276" s="14"/>
    </row>
    <row r="277">
      <c r="S277" s="14"/>
      <c r="T277" s="14"/>
    </row>
    <row r="278">
      <c r="S278" s="14"/>
      <c r="T278" s="14"/>
    </row>
    <row r="279">
      <c r="S279" s="14"/>
      <c r="T279" s="14"/>
    </row>
    <row r="280">
      <c r="S280" s="14"/>
      <c r="T280" s="14"/>
    </row>
    <row r="281">
      <c r="S281" s="14"/>
      <c r="T281" s="14"/>
    </row>
    <row r="282">
      <c r="S282" s="14"/>
      <c r="T282" s="14"/>
    </row>
    <row r="283">
      <c r="S283" s="14"/>
      <c r="T283" s="14"/>
    </row>
    <row r="284">
      <c r="S284" s="14"/>
      <c r="T284" s="14"/>
    </row>
    <row r="285">
      <c r="S285" s="14"/>
      <c r="T285" s="14"/>
    </row>
    <row r="286">
      <c r="S286" s="14"/>
      <c r="T286" s="14"/>
    </row>
    <row r="287">
      <c r="S287" s="14"/>
      <c r="T287" s="14"/>
    </row>
    <row r="288">
      <c r="S288" s="14"/>
      <c r="T288" s="14"/>
    </row>
    <row r="289">
      <c r="S289" s="14"/>
      <c r="T289" s="14"/>
    </row>
    <row r="290">
      <c r="S290" s="14"/>
      <c r="T290" s="14"/>
    </row>
    <row r="291">
      <c r="S291" s="14"/>
      <c r="T291" s="14"/>
    </row>
    <row r="292">
      <c r="S292" s="14"/>
      <c r="T292" s="14"/>
    </row>
    <row r="293">
      <c r="S293" s="14"/>
      <c r="T293" s="14"/>
    </row>
    <row r="294">
      <c r="S294" s="14"/>
      <c r="T294" s="14"/>
    </row>
    <row r="295">
      <c r="S295" s="14"/>
      <c r="T295" s="14"/>
    </row>
    <row r="296">
      <c r="S296" s="14"/>
      <c r="T296" s="14"/>
    </row>
    <row r="297">
      <c r="S297" s="14"/>
      <c r="T297" s="14"/>
    </row>
    <row r="298">
      <c r="S298" s="14"/>
      <c r="T298" s="14"/>
    </row>
    <row r="299">
      <c r="S299" s="14"/>
      <c r="T299" s="14"/>
    </row>
    <row r="300">
      <c r="S300" s="14"/>
      <c r="T300" s="14"/>
    </row>
    <row r="301">
      <c r="S301" s="14"/>
      <c r="T301" s="14"/>
    </row>
    <row r="302">
      <c r="S302" s="14"/>
      <c r="T302" s="14"/>
    </row>
    <row r="303">
      <c r="S303" s="14"/>
      <c r="T303" s="14"/>
    </row>
    <row r="304">
      <c r="S304" s="14"/>
      <c r="T304" s="14"/>
    </row>
    <row r="305">
      <c r="S305" s="14"/>
      <c r="T305" s="14"/>
    </row>
    <row r="306">
      <c r="S306" s="14"/>
      <c r="T306" s="14"/>
    </row>
    <row r="307">
      <c r="S307" s="14"/>
      <c r="T307" s="14"/>
    </row>
    <row r="308">
      <c r="S308" s="14"/>
      <c r="T308" s="14"/>
    </row>
    <row r="309">
      <c r="S309" s="14"/>
      <c r="T309" s="14"/>
    </row>
    <row r="310">
      <c r="S310" s="14"/>
      <c r="T310" s="14"/>
    </row>
    <row r="311">
      <c r="S311" s="14"/>
      <c r="T311" s="14"/>
    </row>
    <row r="312">
      <c r="S312" s="14"/>
      <c r="T312" s="14"/>
    </row>
    <row r="313">
      <c r="S313" s="14"/>
      <c r="T313" s="14"/>
    </row>
    <row r="314">
      <c r="S314" s="14"/>
      <c r="T314" s="14"/>
    </row>
    <row r="315">
      <c r="S315" s="14"/>
      <c r="T315" s="14"/>
    </row>
    <row r="316">
      <c r="S316" s="14"/>
      <c r="T316" s="14"/>
    </row>
    <row r="317">
      <c r="S317" s="14"/>
      <c r="T317" s="14"/>
    </row>
    <row r="318">
      <c r="S318" s="14"/>
      <c r="T318" s="14"/>
    </row>
    <row r="319">
      <c r="S319" s="14"/>
      <c r="T319" s="14"/>
    </row>
    <row r="320">
      <c r="S320" s="14"/>
      <c r="T320" s="14"/>
    </row>
    <row r="321">
      <c r="S321" s="14"/>
      <c r="T321" s="14"/>
    </row>
    <row r="322">
      <c r="S322" s="14"/>
      <c r="T322" s="14"/>
    </row>
    <row r="323">
      <c r="S323" s="14"/>
      <c r="T323" s="14"/>
    </row>
    <row r="324">
      <c r="S324" s="14"/>
      <c r="T324" s="14"/>
    </row>
    <row r="325">
      <c r="S325" s="14"/>
      <c r="T325" s="14"/>
    </row>
    <row r="326">
      <c r="S326" s="14"/>
      <c r="T326" s="14"/>
    </row>
    <row r="327">
      <c r="S327" s="14"/>
      <c r="T327" s="14"/>
    </row>
    <row r="328">
      <c r="S328" s="14"/>
      <c r="T328" s="14"/>
    </row>
    <row r="329">
      <c r="S329" s="14"/>
      <c r="T329" s="14"/>
    </row>
    <row r="330">
      <c r="S330" s="14"/>
      <c r="T330" s="14"/>
    </row>
    <row r="331">
      <c r="S331" s="14"/>
      <c r="T331" s="14"/>
    </row>
    <row r="332">
      <c r="S332" s="14"/>
      <c r="T332" s="14"/>
    </row>
    <row r="333">
      <c r="S333" s="14"/>
      <c r="T333" s="14"/>
    </row>
    <row r="334">
      <c r="S334" s="14"/>
      <c r="T334" s="14"/>
    </row>
    <row r="335">
      <c r="S335" s="14"/>
      <c r="T335" s="14"/>
    </row>
    <row r="336">
      <c r="S336" s="14"/>
      <c r="T336" s="14"/>
    </row>
    <row r="337">
      <c r="S337" s="14"/>
      <c r="T337" s="14"/>
    </row>
    <row r="338">
      <c r="S338" s="14"/>
      <c r="T338" s="14"/>
    </row>
    <row r="339">
      <c r="S339" s="14"/>
      <c r="T339" s="14"/>
    </row>
    <row r="340">
      <c r="S340" s="14"/>
      <c r="T340" s="14"/>
    </row>
    <row r="341">
      <c r="S341" s="14"/>
      <c r="T341" s="14"/>
    </row>
    <row r="342">
      <c r="S342" s="14"/>
      <c r="T342" s="14"/>
    </row>
    <row r="343">
      <c r="S343" s="14"/>
      <c r="T343" s="14"/>
    </row>
    <row r="344">
      <c r="S344" s="14"/>
      <c r="T344" s="14"/>
    </row>
    <row r="345">
      <c r="S345" s="14"/>
      <c r="T345" s="14"/>
    </row>
    <row r="346">
      <c r="S346" s="14"/>
      <c r="T346" s="14"/>
    </row>
    <row r="347">
      <c r="S347" s="14"/>
      <c r="T347" s="14"/>
    </row>
    <row r="348">
      <c r="S348" s="14"/>
      <c r="T348" s="14"/>
    </row>
    <row r="349">
      <c r="S349" s="14"/>
      <c r="T349" s="14"/>
    </row>
    <row r="350">
      <c r="S350" s="14"/>
      <c r="T350" s="14"/>
    </row>
    <row r="351">
      <c r="S351" s="14"/>
      <c r="T351" s="14"/>
    </row>
    <row r="352">
      <c r="S352" s="14"/>
      <c r="T352" s="14"/>
    </row>
    <row r="353">
      <c r="S353" s="14"/>
      <c r="T353" s="14"/>
    </row>
    <row r="354">
      <c r="S354" s="14"/>
      <c r="T354" s="14"/>
    </row>
    <row r="355">
      <c r="S355" s="14"/>
      <c r="T355" s="14"/>
    </row>
    <row r="356">
      <c r="S356" s="14"/>
      <c r="T356" s="14"/>
    </row>
    <row r="357">
      <c r="S357" s="14"/>
      <c r="T357" s="14"/>
    </row>
    <row r="358">
      <c r="S358" s="14"/>
      <c r="T358" s="14"/>
    </row>
    <row r="359">
      <c r="S359" s="14"/>
      <c r="T359" s="14"/>
    </row>
    <row r="360">
      <c r="S360" s="14"/>
      <c r="T360" s="14"/>
    </row>
    <row r="361">
      <c r="S361" s="14"/>
      <c r="T361" s="14"/>
    </row>
    <row r="362">
      <c r="S362" s="14"/>
      <c r="T362" s="14"/>
    </row>
    <row r="363">
      <c r="S363" s="14"/>
      <c r="T363" s="14"/>
    </row>
    <row r="364">
      <c r="S364" s="14"/>
      <c r="T364" s="14"/>
    </row>
    <row r="365">
      <c r="S365" s="14"/>
      <c r="T365" s="14"/>
    </row>
    <row r="366">
      <c r="S366" s="14"/>
      <c r="T366" s="14"/>
    </row>
    <row r="367">
      <c r="S367" s="14"/>
      <c r="T367" s="14"/>
    </row>
    <row r="368">
      <c r="S368" s="14"/>
      <c r="T368" s="14"/>
    </row>
    <row r="369">
      <c r="S369" s="14"/>
      <c r="T369" s="14"/>
    </row>
    <row r="370">
      <c r="S370" s="14"/>
      <c r="T370" s="14"/>
    </row>
    <row r="371">
      <c r="S371" s="14"/>
      <c r="T371" s="14"/>
    </row>
    <row r="372">
      <c r="S372" s="14"/>
      <c r="T372" s="14"/>
    </row>
    <row r="373">
      <c r="S373" s="14"/>
      <c r="T373" s="14"/>
    </row>
    <row r="374">
      <c r="S374" s="14"/>
      <c r="T374" s="14"/>
    </row>
    <row r="375">
      <c r="S375" s="14"/>
      <c r="T375" s="14"/>
    </row>
    <row r="376">
      <c r="S376" s="14"/>
      <c r="T376" s="14"/>
    </row>
    <row r="377">
      <c r="S377" s="14"/>
      <c r="T377" s="14"/>
    </row>
    <row r="378">
      <c r="S378" s="14"/>
      <c r="T378" s="14"/>
    </row>
    <row r="379">
      <c r="S379" s="14"/>
      <c r="T379" s="14"/>
    </row>
    <row r="380">
      <c r="S380" s="14"/>
      <c r="T380" s="14"/>
    </row>
    <row r="381">
      <c r="S381" s="14"/>
      <c r="T381" s="14"/>
    </row>
    <row r="382">
      <c r="S382" s="14"/>
      <c r="T382" s="14"/>
    </row>
    <row r="383">
      <c r="S383" s="14"/>
      <c r="T383" s="14"/>
    </row>
    <row r="384">
      <c r="S384" s="14"/>
      <c r="T384" s="14"/>
    </row>
    <row r="385">
      <c r="S385" s="14"/>
      <c r="T385" s="14"/>
    </row>
    <row r="386">
      <c r="S386" s="14"/>
      <c r="T386" s="14"/>
    </row>
    <row r="387">
      <c r="S387" s="14"/>
      <c r="T387" s="14"/>
    </row>
    <row r="388">
      <c r="S388" s="14"/>
      <c r="T388" s="14"/>
    </row>
    <row r="389">
      <c r="S389" s="14"/>
      <c r="T389" s="14"/>
    </row>
    <row r="390">
      <c r="S390" s="14"/>
      <c r="T390" s="14"/>
    </row>
    <row r="391">
      <c r="S391" s="14"/>
      <c r="T391" s="14"/>
    </row>
    <row r="392">
      <c r="S392" s="14"/>
      <c r="T392" s="14"/>
    </row>
    <row r="393">
      <c r="S393" s="14"/>
      <c r="T393" s="14"/>
    </row>
    <row r="394">
      <c r="S394" s="14"/>
      <c r="T394" s="14"/>
    </row>
    <row r="395">
      <c r="S395" s="14"/>
      <c r="T395" s="14"/>
    </row>
    <row r="396">
      <c r="S396" s="14"/>
      <c r="T396" s="14"/>
    </row>
    <row r="397">
      <c r="S397" s="14"/>
      <c r="T397" s="14"/>
    </row>
    <row r="398">
      <c r="S398" s="14"/>
      <c r="T398" s="14"/>
    </row>
    <row r="399">
      <c r="S399" s="14"/>
      <c r="T399" s="14"/>
    </row>
    <row r="400">
      <c r="S400" s="14"/>
      <c r="T400" s="14"/>
    </row>
    <row r="401">
      <c r="S401" s="14"/>
      <c r="T401" s="14"/>
    </row>
    <row r="402">
      <c r="S402" s="14"/>
      <c r="T402" s="14"/>
    </row>
    <row r="403">
      <c r="S403" s="14"/>
      <c r="T403" s="14"/>
    </row>
    <row r="404">
      <c r="S404" s="14"/>
      <c r="T404" s="14"/>
    </row>
    <row r="405">
      <c r="S405" s="14"/>
      <c r="T405" s="14"/>
    </row>
    <row r="406">
      <c r="S406" s="14"/>
      <c r="T406" s="14"/>
    </row>
    <row r="407">
      <c r="S407" s="14"/>
      <c r="T407" s="14"/>
    </row>
    <row r="408">
      <c r="S408" s="14"/>
      <c r="T408" s="14"/>
    </row>
    <row r="409">
      <c r="S409" s="14"/>
      <c r="T409" s="14"/>
    </row>
    <row r="410">
      <c r="S410" s="14"/>
      <c r="T410" s="14"/>
    </row>
    <row r="411">
      <c r="S411" s="14"/>
      <c r="T411" s="14"/>
    </row>
    <row r="412">
      <c r="S412" s="14"/>
      <c r="T412" s="14"/>
    </row>
    <row r="413">
      <c r="S413" s="14"/>
      <c r="T413" s="14"/>
    </row>
    <row r="414">
      <c r="S414" s="14"/>
      <c r="T414" s="14"/>
    </row>
    <row r="415">
      <c r="S415" s="14"/>
      <c r="T415" s="14"/>
    </row>
    <row r="416">
      <c r="S416" s="14"/>
      <c r="T416" s="14"/>
    </row>
    <row r="417">
      <c r="S417" s="14"/>
      <c r="T417" s="14"/>
    </row>
    <row r="418">
      <c r="S418" s="14"/>
      <c r="T418" s="14"/>
    </row>
    <row r="419">
      <c r="S419" s="14"/>
      <c r="T419" s="14"/>
    </row>
    <row r="420">
      <c r="S420" s="14"/>
      <c r="T420" s="14"/>
    </row>
    <row r="421">
      <c r="S421" s="14"/>
      <c r="T421" s="14"/>
    </row>
    <row r="422">
      <c r="S422" s="14"/>
      <c r="T422" s="14"/>
    </row>
    <row r="423">
      <c r="S423" s="14"/>
      <c r="T423" s="14"/>
    </row>
    <row r="424">
      <c r="S424" s="14"/>
      <c r="T424" s="14"/>
    </row>
    <row r="425">
      <c r="S425" s="14"/>
      <c r="T425" s="14"/>
    </row>
    <row r="426">
      <c r="S426" s="14"/>
      <c r="T426" s="14"/>
    </row>
    <row r="427">
      <c r="S427" s="14"/>
      <c r="T427" s="14"/>
    </row>
    <row r="428">
      <c r="S428" s="14"/>
      <c r="T428" s="14"/>
    </row>
    <row r="429">
      <c r="S429" s="14"/>
      <c r="T429" s="14"/>
    </row>
    <row r="430">
      <c r="S430" s="14"/>
      <c r="T430" s="14"/>
    </row>
    <row r="431">
      <c r="S431" s="14"/>
      <c r="T431" s="14"/>
    </row>
    <row r="432">
      <c r="S432" s="14"/>
      <c r="T432" s="14"/>
    </row>
    <row r="433">
      <c r="S433" s="14"/>
      <c r="T433" s="14"/>
    </row>
    <row r="434">
      <c r="S434" s="14"/>
      <c r="T434" s="14"/>
    </row>
    <row r="435">
      <c r="S435" s="14"/>
      <c r="T435" s="14"/>
    </row>
    <row r="436">
      <c r="S436" s="14"/>
      <c r="T436" s="14"/>
    </row>
    <row r="437">
      <c r="S437" s="14"/>
      <c r="T437" s="14"/>
    </row>
    <row r="438">
      <c r="S438" s="14"/>
      <c r="T438" s="14"/>
    </row>
    <row r="439">
      <c r="S439" s="14"/>
      <c r="T439" s="14"/>
    </row>
    <row r="440">
      <c r="S440" s="14"/>
      <c r="T440" s="14"/>
    </row>
    <row r="441">
      <c r="S441" s="14"/>
      <c r="T441" s="14"/>
    </row>
    <row r="442">
      <c r="S442" s="14"/>
      <c r="T442" s="14"/>
    </row>
    <row r="443">
      <c r="S443" s="14"/>
      <c r="T443" s="14"/>
    </row>
    <row r="444">
      <c r="S444" s="14"/>
      <c r="T444" s="14"/>
    </row>
    <row r="445">
      <c r="S445" s="14"/>
      <c r="T445" s="14"/>
    </row>
    <row r="446">
      <c r="S446" s="14"/>
      <c r="T446" s="14"/>
    </row>
    <row r="447">
      <c r="S447" s="14"/>
      <c r="T447" s="14"/>
    </row>
    <row r="448">
      <c r="S448" s="14"/>
      <c r="T448" s="14"/>
    </row>
    <row r="449">
      <c r="S449" s="14"/>
      <c r="T449" s="14"/>
    </row>
    <row r="450">
      <c r="S450" s="14"/>
      <c r="T450" s="14"/>
    </row>
    <row r="451">
      <c r="S451" s="14"/>
      <c r="T451" s="14"/>
    </row>
    <row r="452">
      <c r="S452" s="14"/>
      <c r="T452" s="14"/>
    </row>
    <row r="453">
      <c r="S453" s="14"/>
      <c r="T453" s="14"/>
    </row>
    <row r="454">
      <c r="S454" s="14"/>
      <c r="T454" s="14"/>
    </row>
    <row r="455">
      <c r="S455" s="14"/>
      <c r="T455" s="14"/>
    </row>
    <row r="456">
      <c r="S456" s="14"/>
      <c r="T456" s="14"/>
    </row>
    <row r="457">
      <c r="S457" s="14"/>
      <c r="T457" s="14"/>
    </row>
    <row r="458">
      <c r="S458" s="14"/>
      <c r="T458" s="14"/>
    </row>
    <row r="459">
      <c r="S459" s="14"/>
      <c r="T459" s="14"/>
    </row>
    <row r="460">
      <c r="S460" s="14"/>
      <c r="T460" s="14"/>
    </row>
    <row r="461">
      <c r="S461" s="14"/>
      <c r="T461" s="14"/>
    </row>
    <row r="462">
      <c r="S462" s="14"/>
      <c r="T462" s="14"/>
    </row>
    <row r="463">
      <c r="S463" s="14"/>
      <c r="T463" s="14"/>
    </row>
    <row r="464">
      <c r="S464" s="14"/>
      <c r="T464" s="14"/>
    </row>
    <row r="465">
      <c r="S465" s="14"/>
      <c r="T465" s="14"/>
    </row>
    <row r="466">
      <c r="S466" s="14"/>
      <c r="T466" s="14"/>
    </row>
    <row r="467">
      <c r="S467" s="14"/>
      <c r="T467" s="14"/>
    </row>
    <row r="468">
      <c r="S468" s="14"/>
      <c r="T468" s="14"/>
    </row>
    <row r="469">
      <c r="S469" s="14"/>
      <c r="T469" s="14"/>
    </row>
    <row r="470">
      <c r="S470" s="14"/>
      <c r="T470" s="14"/>
    </row>
    <row r="471">
      <c r="S471" s="14"/>
      <c r="T471" s="14"/>
    </row>
    <row r="472">
      <c r="S472" s="14"/>
      <c r="T472" s="14"/>
    </row>
    <row r="473">
      <c r="S473" s="14"/>
      <c r="T473" s="14"/>
    </row>
    <row r="474">
      <c r="S474" s="14"/>
      <c r="T474" s="14"/>
    </row>
    <row r="475">
      <c r="S475" s="14"/>
      <c r="T475" s="14"/>
    </row>
    <row r="476">
      <c r="S476" s="14"/>
      <c r="T476" s="14"/>
    </row>
    <row r="477">
      <c r="S477" s="14"/>
      <c r="T477" s="14"/>
    </row>
    <row r="478">
      <c r="S478" s="14"/>
      <c r="T478" s="14"/>
    </row>
    <row r="479">
      <c r="S479" s="14"/>
      <c r="T479" s="14"/>
    </row>
    <row r="480">
      <c r="S480" s="14"/>
      <c r="T480" s="14"/>
    </row>
    <row r="481">
      <c r="S481" s="14"/>
      <c r="T481" s="14"/>
    </row>
    <row r="482">
      <c r="S482" s="14"/>
      <c r="T482" s="14"/>
    </row>
    <row r="483">
      <c r="S483" s="14"/>
      <c r="T483" s="14"/>
    </row>
    <row r="484">
      <c r="S484" s="14"/>
      <c r="T484" s="14"/>
    </row>
    <row r="485">
      <c r="S485" s="14"/>
      <c r="T485" s="14"/>
    </row>
    <row r="486">
      <c r="S486" s="14"/>
      <c r="T486" s="14"/>
    </row>
    <row r="487">
      <c r="S487" s="14"/>
      <c r="T487" s="14"/>
    </row>
    <row r="488">
      <c r="S488" s="14"/>
      <c r="T488" s="14"/>
    </row>
    <row r="489">
      <c r="S489" s="14"/>
      <c r="T489" s="14"/>
    </row>
    <row r="490">
      <c r="S490" s="14"/>
      <c r="T490" s="14"/>
    </row>
    <row r="491">
      <c r="S491" s="14"/>
      <c r="T491" s="14"/>
    </row>
    <row r="492">
      <c r="S492" s="14"/>
      <c r="T492" s="14"/>
    </row>
    <row r="493">
      <c r="S493" s="14"/>
      <c r="T493" s="14"/>
    </row>
    <row r="494">
      <c r="S494" s="14"/>
      <c r="T494" s="14"/>
    </row>
    <row r="495">
      <c r="S495" s="14"/>
      <c r="T495" s="14"/>
    </row>
    <row r="496">
      <c r="S496" s="14"/>
      <c r="T496" s="14"/>
    </row>
    <row r="497">
      <c r="S497" s="14"/>
      <c r="T497" s="14"/>
    </row>
    <row r="498">
      <c r="S498" s="14"/>
      <c r="T498" s="14"/>
    </row>
    <row r="499">
      <c r="S499" s="14"/>
      <c r="T499" s="14"/>
    </row>
    <row r="500">
      <c r="S500" s="14"/>
      <c r="T500" s="14"/>
    </row>
    <row r="501">
      <c r="S501" s="14"/>
      <c r="T501" s="14"/>
    </row>
    <row r="502">
      <c r="S502" s="14"/>
      <c r="T502" s="14"/>
    </row>
    <row r="503">
      <c r="S503" s="14"/>
      <c r="T503" s="14"/>
    </row>
    <row r="504">
      <c r="S504" s="14"/>
      <c r="T504" s="14"/>
    </row>
    <row r="505">
      <c r="S505" s="14"/>
      <c r="T505" s="14"/>
    </row>
    <row r="506">
      <c r="S506" s="14"/>
      <c r="T506" s="14"/>
    </row>
    <row r="507">
      <c r="S507" s="14"/>
      <c r="T507" s="14"/>
    </row>
    <row r="508">
      <c r="S508" s="14"/>
      <c r="T508" s="14"/>
    </row>
    <row r="509">
      <c r="S509" s="14"/>
      <c r="T509" s="14"/>
    </row>
    <row r="510">
      <c r="S510" s="14"/>
      <c r="T510" s="14"/>
    </row>
    <row r="511">
      <c r="S511" s="14"/>
      <c r="T511" s="14"/>
    </row>
    <row r="512">
      <c r="S512" s="14"/>
      <c r="T512" s="14"/>
    </row>
    <row r="513">
      <c r="S513" s="14"/>
      <c r="T513" s="14"/>
    </row>
    <row r="514">
      <c r="S514" s="14"/>
      <c r="T514" s="14"/>
    </row>
    <row r="515">
      <c r="S515" s="14"/>
      <c r="T515" s="14"/>
    </row>
    <row r="516">
      <c r="S516" s="14"/>
      <c r="T516" s="14"/>
    </row>
    <row r="517">
      <c r="S517" s="14"/>
      <c r="T517" s="14"/>
    </row>
    <row r="518">
      <c r="S518" s="14"/>
      <c r="T518" s="14"/>
    </row>
    <row r="519">
      <c r="S519" s="14"/>
      <c r="T519" s="14"/>
    </row>
    <row r="520">
      <c r="S520" s="14"/>
      <c r="T520" s="14"/>
    </row>
    <row r="521">
      <c r="S521" s="14"/>
      <c r="T521" s="14"/>
    </row>
    <row r="522">
      <c r="S522" s="14"/>
      <c r="T522" s="14"/>
    </row>
    <row r="523">
      <c r="S523" s="14"/>
      <c r="T523" s="14"/>
    </row>
    <row r="524">
      <c r="S524" s="14"/>
      <c r="T524" s="14"/>
    </row>
    <row r="525">
      <c r="S525" s="14"/>
      <c r="T525" s="14"/>
    </row>
    <row r="526">
      <c r="S526" s="14"/>
      <c r="T526" s="14"/>
    </row>
    <row r="527">
      <c r="S527" s="14"/>
      <c r="T527" s="14"/>
    </row>
    <row r="528">
      <c r="S528" s="14"/>
      <c r="T528" s="14"/>
    </row>
    <row r="529">
      <c r="S529" s="14"/>
      <c r="T529" s="14"/>
    </row>
    <row r="530">
      <c r="S530" s="14"/>
      <c r="T530" s="14"/>
    </row>
    <row r="531">
      <c r="S531" s="14"/>
      <c r="T531" s="14"/>
    </row>
    <row r="532">
      <c r="S532" s="14"/>
      <c r="T532" s="14"/>
    </row>
    <row r="533">
      <c r="S533" s="14"/>
      <c r="T533" s="14"/>
    </row>
    <row r="534">
      <c r="S534" s="14"/>
      <c r="T534" s="14"/>
    </row>
    <row r="535">
      <c r="S535" s="14"/>
      <c r="T535" s="14"/>
    </row>
    <row r="536">
      <c r="S536" s="14"/>
      <c r="T536" s="14"/>
    </row>
    <row r="537">
      <c r="S537" s="14"/>
      <c r="T537" s="14"/>
    </row>
    <row r="538">
      <c r="S538" s="14"/>
      <c r="T538" s="14"/>
    </row>
    <row r="539">
      <c r="S539" s="14"/>
      <c r="T539" s="14"/>
    </row>
    <row r="540">
      <c r="S540" s="14"/>
      <c r="T540" s="14"/>
    </row>
    <row r="541">
      <c r="S541" s="14"/>
      <c r="T541" s="14"/>
    </row>
    <row r="542">
      <c r="S542" s="14"/>
      <c r="T542" s="14"/>
    </row>
    <row r="543">
      <c r="S543" s="14"/>
      <c r="T543" s="14"/>
    </row>
    <row r="544">
      <c r="S544" s="14"/>
      <c r="T544" s="14"/>
    </row>
    <row r="545">
      <c r="S545" s="14"/>
      <c r="T545" s="14"/>
    </row>
    <row r="546">
      <c r="S546" s="14"/>
      <c r="T546" s="14"/>
    </row>
    <row r="547">
      <c r="S547" s="14"/>
      <c r="T547" s="14"/>
    </row>
    <row r="548">
      <c r="S548" s="14"/>
      <c r="T548" s="14"/>
    </row>
    <row r="549">
      <c r="S549" s="14"/>
      <c r="T549" s="14"/>
    </row>
    <row r="550">
      <c r="S550" s="14"/>
      <c r="T550" s="14"/>
    </row>
    <row r="551">
      <c r="S551" s="14"/>
      <c r="T551" s="14"/>
    </row>
    <row r="552">
      <c r="S552" s="14"/>
      <c r="T552" s="14"/>
    </row>
    <row r="553">
      <c r="S553" s="14"/>
      <c r="T553" s="14"/>
    </row>
    <row r="554">
      <c r="S554" s="14"/>
      <c r="T554" s="14"/>
    </row>
    <row r="555">
      <c r="S555" s="14"/>
      <c r="T555" s="14"/>
    </row>
    <row r="556">
      <c r="S556" s="14"/>
      <c r="T556" s="14"/>
    </row>
    <row r="557">
      <c r="S557" s="14"/>
      <c r="T557" s="14"/>
    </row>
    <row r="558">
      <c r="S558" s="14"/>
      <c r="T558" s="14"/>
    </row>
    <row r="559">
      <c r="S559" s="14"/>
      <c r="T559" s="14"/>
    </row>
    <row r="560">
      <c r="S560" s="14"/>
      <c r="T560" s="14"/>
    </row>
    <row r="561">
      <c r="S561" s="14"/>
      <c r="T561" s="14"/>
    </row>
    <row r="562">
      <c r="S562" s="14"/>
      <c r="T562" s="14"/>
    </row>
    <row r="563">
      <c r="S563" s="14"/>
      <c r="T563" s="14"/>
    </row>
    <row r="564">
      <c r="S564" s="14"/>
      <c r="T564" s="14"/>
    </row>
    <row r="565">
      <c r="S565" s="14"/>
      <c r="T565" s="14"/>
    </row>
    <row r="566">
      <c r="S566" s="14"/>
      <c r="T566" s="14"/>
    </row>
    <row r="567">
      <c r="S567" s="14"/>
      <c r="T567" s="14"/>
    </row>
    <row r="568">
      <c r="S568" s="14"/>
      <c r="T568" s="14"/>
    </row>
    <row r="569">
      <c r="S569" s="14"/>
      <c r="T569" s="14"/>
    </row>
    <row r="570">
      <c r="S570" s="14"/>
      <c r="T570" s="14"/>
    </row>
    <row r="571">
      <c r="S571" s="14"/>
      <c r="T571" s="14"/>
    </row>
    <row r="572">
      <c r="S572" s="14"/>
      <c r="T572" s="14"/>
    </row>
    <row r="573">
      <c r="S573" s="14"/>
      <c r="T573" s="14"/>
    </row>
    <row r="574">
      <c r="S574" s="14"/>
      <c r="T574" s="14"/>
    </row>
    <row r="575">
      <c r="S575" s="14"/>
      <c r="T575" s="14"/>
    </row>
    <row r="576">
      <c r="S576" s="14"/>
      <c r="T576" s="14"/>
    </row>
    <row r="577">
      <c r="S577" s="14"/>
      <c r="T577" s="14"/>
    </row>
    <row r="578">
      <c r="S578" s="14"/>
      <c r="T578" s="14"/>
    </row>
    <row r="579">
      <c r="S579" s="14"/>
      <c r="T579" s="14"/>
    </row>
    <row r="580">
      <c r="S580" s="14"/>
      <c r="T580" s="14"/>
    </row>
    <row r="581">
      <c r="S581" s="14"/>
      <c r="T581" s="14"/>
    </row>
    <row r="582">
      <c r="S582" s="14"/>
      <c r="T582" s="14"/>
    </row>
    <row r="583">
      <c r="S583" s="14"/>
      <c r="T583" s="14"/>
    </row>
    <row r="584">
      <c r="S584" s="14"/>
      <c r="T584" s="14"/>
    </row>
    <row r="585">
      <c r="S585" s="14"/>
      <c r="T585" s="14"/>
    </row>
    <row r="586">
      <c r="S586" s="14"/>
      <c r="T586" s="14"/>
    </row>
    <row r="587">
      <c r="S587" s="14"/>
      <c r="T587" s="14"/>
    </row>
    <row r="588">
      <c r="S588" s="14"/>
      <c r="T588" s="14"/>
    </row>
    <row r="589">
      <c r="S589" s="14"/>
      <c r="T589" s="14"/>
    </row>
    <row r="590">
      <c r="S590" s="14"/>
      <c r="T590" s="14"/>
    </row>
    <row r="591">
      <c r="S591" s="14"/>
      <c r="T591" s="14"/>
    </row>
    <row r="592">
      <c r="S592" s="14"/>
      <c r="T592" s="14"/>
    </row>
    <row r="593">
      <c r="S593" s="14"/>
      <c r="T593" s="14"/>
    </row>
    <row r="594">
      <c r="S594" s="14"/>
      <c r="T594" s="14"/>
    </row>
    <row r="595">
      <c r="S595" s="14"/>
      <c r="T595" s="14"/>
    </row>
    <row r="596">
      <c r="S596" s="14"/>
      <c r="T596" s="14"/>
    </row>
    <row r="597">
      <c r="S597" s="14"/>
      <c r="T597" s="14"/>
    </row>
    <row r="598">
      <c r="S598" s="14"/>
      <c r="T598" s="14"/>
    </row>
    <row r="599">
      <c r="S599" s="14"/>
      <c r="T599" s="14"/>
    </row>
    <row r="600">
      <c r="S600" s="14"/>
      <c r="T600" s="14"/>
    </row>
    <row r="601">
      <c r="S601" s="14"/>
      <c r="T601" s="14"/>
    </row>
    <row r="602">
      <c r="S602" s="14"/>
      <c r="T602" s="14"/>
    </row>
    <row r="603">
      <c r="S603" s="14"/>
      <c r="T603" s="14"/>
    </row>
    <row r="604">
      <c r="S604" s="14"/>
      <c r="T604" s="14"/>
    </row>
    <row r="605">
      <c r="S605" s="14"/>
      <c r="T605" s="14"/>
    </row>
    <row r="606">
      <c r="S606" s="14"/>
      <c r="T606" s="14"/>
    </row>
    <row r="607">
      <c r="S607" s="14"/>
      <c r="T607" s="14"/>
    </row>
    <row r="608">
      <c r="S608" s="14"/>
      <c r="T608" s="14"/>
    </row>
    <row r="609">
      <c r="S609" s="14"/>
      <c r="T609" s="14"/>
    </row>
    <row r="610">
      <c r="S610" s="14"/>
      <c r="T610" s="14"/>
    </row>
    <row r="611">
      <c r="S611" s="14"/>
      <c r="T611" s="14"/>
    </row>
    <row r="612">
      <c r="S612" s="14"/>
      <c r="T612" s="14"/>
    </row>
    <row r="613">
      <c r="S613" s="14"/>
      <c r="T613" s="14"/>
    </row>
    <row r="614">
      <c r="S614" s="14"/>
      <c r="T614" s="14"/>
    </row>
    <row r="615">
      <c r="S615" s="14"/>
      <c r="T615" s="14"/>
    </row>
    <row r="616">
      <c r="S616" s="14"/>
      <c r="T616" s="14"/>
    </row>
    <row r="617">
      <c r="S617" s="14"/>
      <c r="T617" s="14"/>
    </row>
    <row r="618">
      <c r="S618" s="14"/>
      <c r="T618" s="14"/>
    </row>
    <row r="619">
      <c r="S619" s="14"/>
      <c r="T619" s="14"/>
    </row>
    <row r="620">
      <c r="S620" s="14"/>
      <c r="T620" s="14"/>
    </row>
    <row r="621">
      <c r="S621" s="14"/>
      <c r="T621" s="14"/>
    </row>
    <row r="622">
      <c r="S622" s="14"/>
      <c r="T622" s="14"/>
    </row>
    <row r="623">
      <c r="S623" s="14"/>
      <c r="T623" s="14"/>
    </row>
    <row r="624">
      <c r="S624" s="14"/>
      <c r="T624" s="14"/>
    </row>
    <row r="625">
      <c r="S625" s="14"/>
      <c r="T625" s="14"/>
    </row>
    <row r="626">
      <c r="S626" s="14"/>
      <c r="T626" s="14"/>
    </row>
    <row r="627">
      <c r="S627" s="14"/>
      <c r="T627" s="14"/>
    </row>
    <row r="628">
      <c r="S628" s="14"/>
      <c r="T628" s="14"/>
    </row>
    <row r="629">
      <c r="S629" s="14"/>
      <c r="T629" s="14"/>
    </row>
    <row r="630">
      <c r="S630" s="14"/>
      <c r="T630" s="14"/>
    </row>
    <row r="631">
      <c r="S631" s="14"/>
      <c r="T631" s="14"/>
    </row>
    <row r="632">
      <c r="S632" s="14"/>
      <c r="T632" s="14"/>
    </row>
    <row r="633">
      <c r="S633" s="14"/>
      <c r="T633" s="14"/>
    </row>
    <row r="634">
      <c r="S634" s="14"/>
      <c r="T634" s="14"/>
    </row>
    <row r="635">
      <c r="S635" s="14"/>
      <c r="T635" s="14"/>
    </row>
    <row r="636">
      <c r="S636" s="14"/>
      <c r="T636" s="14"/>
    </row>
    <row r="637">
      <c r="S637" s="14"/>
      <c r="T637" s="14"/>
    </row>
    <row r="638">
      <c r="S638" s="14"/>
      <c r="T638" s="14"/>
    </row>
    <row r="639">
      <c r="S639" s="14"/>
      <c r="T639" s="14"/>
    </row>
    <row r="640">
      <c r="S640" s="14"/>
      <c r="T640" s="14"/>
    </row>
    <row r="641">
      <c r="S641" s="14"/>
      <c r="T641" s="14"/>
    </row>
    <row r="642">
      <c r="S642" s="14"/>
      <c r="T642" s="14"/>
    </row>
    <row r="643">
      <c r="S643" s="14"/>
      <c r="T643" s="14"/>
    </row>
    <row r="644">
      <c r="S644" s="14"/>
      <c r="T644" s="14"/>
    </row>
    <row r="645">
      <c r="S645" s="14"/>
      <c r="T645" s="14"/>
    </row>
    <row r="646">
      <c r="S646" s="14"/>
      <c r="T646" s="14"/>
    </row>
    <row r="647">
      <c r="S647" s="14"/>
      <c r="T647" s="14"/>
    </row>
    <row r="648">
      <c r="S648" s="14"/>
      <c r="T648" s="14"/>
    </row>
    <row r="649">
      <c r="S649" s="14"/>
      <c r="T649" s="14"/>
    </row>
    <row r="650">
      <c r="S650" s="14"/>
      <c r="T650" s="14"/>
    </row>
    <row r="651">
      <c r="S651" s="14"/>
      <c r="T651" s="14"/>
    </row>
    <row r="652">
      <c r="S652" s="14"/>
      <c r="T652" s="14"/>
    </row>
    <row r="653">
      <c r="S653" s="14"/>
      <c r="T653" s="14"/>
    </row>
    <row r="654">
      <c r="S654" s="14"/>
      <c r="T654" s="14"/>
    </row>
    <row r="655">
      <c r="S655" s="14"/>
      <c r="T655" s="14"/>
    </row>
    <row r="656">
      <c r="S656" s="14"/>
      <c r="T656" s="14"/>
    </row>
    <row r="657">
      <c r="S657" s="14"/>
      <c r="T657" s="14"/>
    </row>
    <row r="658">
      <c r="S658" s="14"/>
      <c r="T658" s="14"/>
    </row>
    <row r="659">
      <c r="S659" s="14"/>
      <c r="T659" s="14"/>
    </row>
    <row r="660">
      <c r="S660" s="14"/>
      <c r="T660" s="14"/>
    </row>
    <row r="661">
      <c r="S661" s="14"/>
      <c r="T661" s="14"/>
    </row>
    <row r="662">
      <c r="S662" s="14"/>
      <c r="T662" s="14"/>
    </row>
    <row r="663">
      <c r="S663" s="14"/>
      <c r="T663" s="14"/>
    </row>
    <row r="664">
      <c r="S664" s="14"/>
      <c r="T664" s="14"/>
    </row>
    <row r="665">
      <c r="S665" s="14"/>
      <c r="T665" s="14"/>
    </row>
    <row r="666">
      <c r="S666" s="14"/>
      <c r="T666" s="14"/>
    </row>
    <row r="667">
      <c r="S667" s="14"/>
      <c r="T667" s="14"/>
    </row>
    <row r="668">
      <c r="S668" s="14"/>
      <c r="T668" s="14"/>
    </row>
    <row r="669">
      <c r="S669" s="14"/>
      <c r="T669" s="14"/>
    </row>
    <row r="670">
      <c r="S670" s="14"/>
      <c r="T670" s="14"/>
    </row>
    <row r="671">
      <c r="S671" s="14"/>
      <c r="T671" s="14"/>
    </row>
    <row r="672">
      <c r="S672" s="14"/>
      <c r="T672" s="14"/>
    </row>
    <row r="673">
      <c r="S673" s="14"/>
      <c r="T673" s="14"/>
    </row>
    <row r="674">
      <c r="S674" s="14"/>
      <c r="T674" s="14"/>
    </row>
    <row r="675">
      <c r="S675" s="14"/>
      <c r="T675" s="14"/>
    </row>
    <row r="676">
      <c r="S676" s="14"/>
      <c r="T676" s="14"/>
    </row>
    <row r="677">
      <c r="S677" s="14"/>
      <c r="T677" s="14"/>
    </row>
    <row r="678">
      <c r="S678" s="14"/>
      <c r="T678" s="14"/>
    </row>
    <row r="679">
      <c r="S679" s="14"/>
      <c r="T679" s="14"/>
    </row>
    <row r="680">
      <c r="S680" s="14"/>
      <c r="T680" s="14"/>
    </row>
    <row r="681">
      <c r="S681" s="14"/>
      <c r="T681" s="14"/>
    </row>
    <row r="682">
      <c r="S682" s="14"/>
      <c r="T682" s="14"/>
    </row>
    <row r="683">
      <c r="S683" s="14"/>
      <c r="T683" s="14"/>
    </row>
    <row r="684">
      <c r="S684" s="14"/>
      <c r="T684" s="14"/>
    </row>
    <row r="685">
      <c r="S685" s="14"/>
      <c r="T685" s="14"/>
    </row>
    <row r="686">
      <c r="S686" s="14"/>
      <c r="T686" s="14"/>
    </row>
    <row r="687">
      <c r="S687" s="14"/>
      <c r="T687" s="14"/>
    </row>
    <row r="688">
      <c r="S688" s="14"/>
      <c r="T688" s="14"/>
    </row>
    <row r="689">
      <c r="S689" s="14"/>
      <c r="T689" s="14"/>
    </row>
    <row r="690">
      <c r="S690" s="14"/>
      <c r="T690" s="14"/>
    </row>
    <row r="691">
      <c r="S691" s="14"/>
      <c r="T691" s="14"/>
    </row>
    <row r="692">
      <c r="S692" s="14"/>
      <c r="T692" s="14"/>
    </row>
    <row r="693">
      <c r="S693" s="14"/>
      <c r="T693" s="14"/>
    </row>
    <row r="694">
      <c r="S694" s="14"/>
      <c r="T694" s="14"/>
    </row>
    <row r="695">
      <c r="S695" s="14"/>
      <c r="T695" s="14"/>
    </row>
    <row r="696">
      <c r="S696" s="14"/>
      <c r="T696" s="14"/>
    </row>
    <row r="697">
      <c r="S697" s="14"/>
      <c r="T697" s="14"/>
    </row>
    <row r="698">
      <c r="S698" s="14"/>
      <c r="T698" s="14"/>
    </row>
    <row r="699">
      <c r="S699" s="14"/>
      <c r="T699" s="14"/>
    </row>
    <row r="700">
      <c r="S700" s="14"/>
      <c r="T700" s="14"/>
    </row>
    <row r="701">
      <c r="S701" s="14"/>
      <c r="T701" s="14"/>
    </row>
    <row r="702">
      <c r="S702" s="14"/>
      <c r="T702" s="14"/>
    </row>
    <row r="703">
      <c r="S703" s="14"/>
      <c r="T703" s="14"/>
    </row>
    <row r="704">
      <c r="S704" s="14"/>
      <c r="T704" s="14"/>
    </row>
    <row r="705">
      <c r="S705" s="14"/>
      <c r="T705" s="14"/>
    </row>
    <row r="706">
      <c r="S706" s="14"/>
      <c r="T706" s="14"/>
    </row>
    <row r="707">
      <c r="S707" s="14"/>
      <c r="T707" s="14"/>
    </row>
    <row r="708">
      <c r="S708" s="14"/>
      <c r="T708" s="14"/>
    </row>
    <row r="709">
      <c r="S709" s="14"/>
      <c r="T709" s="14"/>
    </row>
    <row r="710">
      <c r="S710" s="14"/>
      <c r="T710" s="14"/>
    </row>
    <row r="711">
      <c r="S711" s="14"/>
      <c r="T711" s="14"/>
    </row>
    <row r="712">
      <c r="S712" s="14"/>
      <c r="T712" s="14"/>
    </row>
    <row r="713">
      <c r="S713" s="14"/>
      <c r="T713" s="14"/>
    </row>
    <row r="714">
      <c r="S714" s="14"/>
      <c r="T714" s="14"/>
    </row>
    <row r="715">
      <c r="S715" s="14"/>
      <c r="T715" s="14"/>
    </row>
    <row r="716">
      <c r="S716" s="14"/>
      <c r="T716" s="14"/>
    </row>
    <row r="717">
      <c r="S717" s="14"/>
      <c r="T717" s="14"/>
    </row>
    <row r="718">
      <c r="S718" s="14"/>
      <c r="T718" s="14"/>
    </row>
    <row r="719">
      <c r="S719" s="14"/>
      <c r="T719" s="14"/>
    </row>
    <row r="720">
      <c r="S720" s="14"/>
      <c r="T720" s="14"/>
    </row>
    <row r="721">
      <c r="S721" s="14"/>
      <c r="T721" s="14"/>
    </row>
    <row r="722">
      <c r="S722" s="14"/>
      <c r="T722" s="14"/>
    </row>
    <row r="723">
      <c r="S723" s="14"/>
      <c r="T723" s="14"/>
    </row>
    <row r="724">
      <c r="S724" s="14"/>
      <c r="T724" s="14"/>
    </row>
    <row r="725">
      <c r="S725" s="14"/>
      <c r="T725" s="14"/>
    </row>
    <row r="726">
      <c r="S726" s="14"/>
      <c r="T726" s="14"/>
    </row>
    <row r="727">
      <c r="S727" s="14"/>
      <c r="T727" s="14"/>
    </row>
    <row r="728">
      <c r="S728" s="14"/>
      <c r="T728" s="14"/>
    </row>
    <row r="729">
      <c r="S729" s="14"/>
      <c r="T729" s="14"/>
    </row>
    <row r="730">
      <c r="S730" s="14"/>
      <c r="T730" s="14"/>
    </row>
    <row r="731">
      <c r="S731" s="14"/>
      <c r="T731" s="14"/>
    </row>
    <row r="732">
      <c r="S732" s="14"/>
      <c r="T732" s="14"/>
    </row>
    <row r="733">
      <c r="S733" s="14"/>
      <c r="T733" s="14"/>
    </row>
    <row r="734">
      <c r="S734" s="14"/>
      <c r="T734" s="14"/>
    </row>
    <row r="735">
      <c r="S735" s="14"/>
      <c r="T735" s="14"/>
    </row>
    <row r="736">
      <c r="S736" s="14"/>
      <c r="T736" s="14"/>
    </row>
    <row r="737">
      <c r="S737" s="14"/>
      <c r="T737" s="14"/>
    </row>
    <row r="738">
      <c r="S738" s="14"/>
      <c r="T738" s="14"/>
    </row>
    <row r="739">
      <c r="S739" s="14"/>
      <c r="T739" s="14"/>
    </row>
    <row r="740">
      <c r="S740" s="14"/>
      <c r="T740" s="14"/>
    </row>
    <row r="741">
      <c r="S741" s="14"/>
      <c r="T741" s="14"/>
    </row>
    <row r="742">
      <c r="S742" s="14"/>
      <c r="T742" s="14"/>
    </row>
    <row r="743">
      <c r="S743" s="14"/>
      <c r="T743" s="14"/>
    </row>
    <row r="744">
      <c r="S744" s="14"/>
      <c r="T744" s="14"/>
    </row>
    <row r="745">
      <c r="S745" s="14"/>
      <c r="T745" s="14"/>
    </row>
    <row r="746">
      <c r="S746" s="14"/>
      <c r="T746" s="14"/>
    </row>
    <row r="747">
      <c r="S747" s="14"/>
      <c r="T747" s="14"/>
    </row>
    <row r="748">
      <c r="S748" s="14"/>
      <c r="T748" s="14"/>
    </row>
    <row r="749">
      <c r="S749" s="14"/>
      <c r="T749" s="14"/>
    </row>
    <row r="750">
      <c r="S750" s="14"/>
      <c r="T750" s="14"/>
    </row>
    <row r="751">
      <c r="S751" s="14"/>
      <c r="T751" s="14"/>
    </row>
    <row r="752">
      <c r="S752" s="14"/>
      <c r="T752" s="14"/>
    </row>
    <row r="753">
      <c r="S753" s="14"/>
      <c r="T753" s="14"/>
    </row>
    <row r="754">
      <c r="S754" s="14"/>
      <c r="T754" s="14"/>
    </row>
    <row r="755">
      <c r="S755" s="14"/>
      <c r="T755" s="14"/>
    </row>
    <row r="756">
      <c r="S756" s="14"/>
      <c r="T756" s="14"/>
    </row>
    <row r="757">
      <c r="S757" s="14"/>
      <c r="T757" s="14"/>
    </row>
    <row r="758">
      <c r="S758" s="14"/>
      <c r="T758" s="14"/>
    </row>
    <row r="759">
      <c r="S759" s="14"/>
      <c r="T759" s="14"/>
    </row>
    <row r="760">
      <c r="S760" s="14"/>
      <c r="T760" s="14"/>
    </row>
    <row r="761">
      <c r="S761" s="14"/>
      <c r="T761" s="14"/>
    </row>
    <row r="762">
      <c r="S762" s="14"/>
      <c r="T762" s="14"/>
    </row>
    <row r="763">
      <c r="S763" s="14"/>
      <c r="T763" s="14"/>
    </row>
    <row r="764">
      <c r="S764" s="14"/>
      <c r="T764" s="14"/>
    </row>
    <row r="765">
      <c r="S765" s="14"/>
      <c r="T765" s="14"/>
    </row>
    <row r="766">
      <c r="S766" s="14"/>
      <c r="T766" s="14"/>
    </row>
    <row r="767">
      <c r="S767" s="14"/>
      <c r="T767" s="14"/>
    </row>
    <row r="768">
      <c r="S768" s="14"/>
      <c r="T768" s="14"/>
    </row>
    <row r="769">
      <c r="S769" s="14"/>
      <c r="T769" s="14"/>
    </row>
    <row r="770">
      <c r="S770" s="14"/>
      <c r="T770" s="14"/>
    </row>
    <row r="771">
      <c r="S771" s="14"/>
      <c r="T771" s="14"/>
    </row>
    <row r="772">
      <c r="S772" s="14"/>
      <c r="T772" s="14"/>
    </row>
    <row r="773">
      <c r="S773" s="14"/>
      <c r="T773" s="14"/>
    </row>
    <row r="774">
      <c r="S774" s="14"/>
      <c r="T774" s="14"/>
    </row>
    <row r="775">
      <c r="S775" s="14"/>
      <c r="T775" s="14"/>
    </row>
    <row r="776">
      <c r="S776" s="14"/>
      <c r="T776" s="14"/>
    </row>
    <row r="777">
      <c r="S777" s="14"/>
      <c r="T777" s="14"/>
    </row>
    <row r="778">
      <c r="S778" s="14"/>
      <c r="T778" s="14"/>
    </row>
    <row r="779">
      <c r="S779" s="14"/>
      <c r="T779" s="14"/>
    </row>
    <row r="780">
      <c r="S780" s="14"/>
      <c r="T780" s="14"/>
    </row>
    <row r="781">
      <c r="S781" s="14"/>
      <c r="T781" s="14"/>
    </row>
    <row r="782">
      <c r="S782" s="14"/>
      <c r="T782" s="14"/>
    </row>
    <row r="783">
      <c r="S783" s="14"/>
      <c r="T783" s="14"/>
    </row>
    <row r="784">
      <c r="S784" s="14"/>
      <c r="T784" s="14"/>
    </row>
    <row r="785">
      <c r="S785" s="14"/>
      <c r="T785" s="14"/>
    </row>
    <row r="786">
      <c r="S786" s="14"/>
      <c r="T786" s="14"/>
    </row>
    <row r="787">
      <c r="S787" s="14"/>
      <c r="T787" s="14"/>
    </row>
    <row r="788">
      <c r="S788" s="14"/>
      <c r="T788" s="14"/>
    </row>
    <row r="789">
      <c r="S789" s="14"/>
      <c r="T789" s="14"/>
    </row>
    <row r="790">
      <c r="S790" s="14"/>
      <c r="T790" s="14"/>
    </row>
    <row r="791">
      <c r="S791" s="14"/>
      <c r="T791" s="14"/>
    </row>
    <row r="792">
      <c r="S792" s="14"/>
      <c r="T792" s="14"/>
    </row>
    <row r="793">
      <c r="S793" s="14"/>
      <c r="T793" s="14"/>
    </row>
    <row r="794">
      <c r="S794" s="14"/>
      <c r="T794" s="14"/>
    </row>
    <row r="795">
      <c r="S795" s="14"/>
      <c r="T795" s="14"/>
    </row>
    <row r="796">
      <c r="S796" s="14"/>
      <c r="T796" s="14"/>
    </row>
    <row r="797">
      <c r="S797" s="14"/>
      <c r="T797" s="14"/>
    </row>
    <row r="798">
      <c r="S798" s="14"/>
      <c r="T798" s="14"/>
    </row>
    <row r="799">
      <c r="S799" s="14"/>
      <c r="T799" s="14"/>
    </row>
    <row r="800">
      <c r="S800" s="14"/>
      <c r="T800" s="14"/>
    </row>
    <row r="801">
      <c r="S801" s="14"/>
      <c r="T801" s="14"/>
    </row>
    <row r="802">
      <c r="S802" s="14"/>
      <c r="T802" s="14"/>
    </row>
    <row r="803">
      <c r="S803" s="14"/>
      <c r="T803" s="14"/>
    </row>
    <row r="804">
      <c r="S804" s="14"/>
      <c r="T804" s="14"/>
    </row>
    <row r="805">
      <c r="S805" s="14"/>
      <c r="T805" s="14"/>
    </row>
    <row r="806">
      <c r="S806" s="14"/>
      <c r="T806" s="14"/>
    </row>
    <row r="807">
      <c r="S807" s="14"/>
      <c r="T807" s="14"/>
    </row>
    <row r="808">
      <c r="S808" s="14"/>
      <c r="T808" s="14"/>
    </row>
    <row r="809">
      <c r="S809" s="14"/>
      <c r="T809" s="14"/>
    </row>
    <row r="810">
      <c r="S810" s="14"/>
      <c r="T810" s="14"/>
    </row>
    <row r="811">
      <c r="S811" s="14"/>
      <c r="T811" s="14"/>
    </row>
    <row r="812">
      <c r="S812" s="14"/>
      <c r="T812" s="14"/>
    </row>
    <row r="813">
      <c r="S813" s="14"/>
      <c r="T813" s="14"/>
    </row>
    <row r="814">
      <c r="S814" s="14"/>
      <c r="T814" s="14"/>
    </row>
    <row r="815">
      <c r="S815" s="14"/>
      <c r="T815" s="14"/>
    </row>
    <row r="816">
      <c r="S816" s="14"/>
      <c r="T816" s="14"/>
    </row>
    <row r="817">
      <c r="S817" s="14"/>
      <c r="T817" s="14"/>
    </row>
    <row r="818">
      <c r="S818" s="14"/>
      <c r="T818" s="14"/>
    </row>
    <row r="819">
      <c r="S819" s="14"/>
      <c r="T819" s="14"/>
    </row>
    <row r="820">
      <c r="S820" s="14"/>
      <c r="T820" s="14"/>
    </row>
    <row r="821">
      <c r="S821" s="14"/>
      <c r="T821" s="14"/>
    </row>
    <row r="822">
      <c r="S822" s="14"/>
      <c r="T822" s="14"/>
    </row>
    <row r="823">
      <c r="S823" s="14"/>
      <c r="T823" s="14"/>
    </row>
    <row r="824">
      <c r="S824" s="14"/>
      <c r="T824" s="14"/>
    </row>
    <row r="825">
      <c r="S825" s="14"/>
      <c r="T825" s="14"/>
    </row>
    <row r="826">
      <c r="S826" s="14"/>
      <c r="T826" s="14"/>
    </row>
    <row r="827">
      <c r="S827" s="14"/>
      <c r="T827" s="14"/>
    </row>
    <row r="828">
      <c r="S828" s="14"/>
      <c r="T828" s="14"/>
    </row>
    <row r="829">
      <c r="S829" s="14"/>
      <c r="T829" s="14"/>
    </row>
    <row r="830">
      <c r="S830" s="14"/>
      <c r="T830" s="14"/>
    </row>
    <row r="831">
      <c r="S831" s="14"/>
      <c r="T831" s="14"/>
    </row>
    <row r="832">
      <c r="S832" s="14"/>
      <c r="T832" s="14"/>
    </row>
    <row r="833">
      <c r="S833" s="14"/>
      <c r="T833" s="14"/>
    </row>
    <row r="834">
      <c r="S834" s="14"/>
      <c r="T834" s="14"/>
    </row>
    <row r="835">
      <c r="S835" s="14"/>
      <c r="T835" s="14"/>
    </row>
    <row r="836">
      <c r="S836" s="14"/>
      <c r="T836" s="14"/>
    </row>
    <row r="837">
      <c r="S837" s="14"/>
      <c r="T837" s="14"/>
    </row>
    <row r="838">
      <c r="S838" s="14"/>
      <c r="T838" s="14"/>
    </row>
    <row r="839">
      <c r="S839" s="14"/>
      <c r="T839" s="14"/>
    </row>
    <row r="840">
      <c r="S840" s="14"/>
      <c r="T840" s="14"/>
    </row>
    <row r="841">
      <c r="S841" s="14"/>
      <c r="T841" s="14"/>
    </row>
    <row r="842">
      <c r="S842" s="14"/>
      <c r="T842" s="14"/>
    </row>
    <row r="843">
      <c r="S843" s="14"/>
      <c r="T843" s="14"/>
    </row>
    <row r="844">
      <c r="S844" s="14"/>
      <c r="T844" s="14"/>
    </row>
    <row r="845">
      <c r="S845" s="14"/>
      <c r="T845" s="14"/>
    </row>
    <row r="846">
      <c r="S846" s="14"/>
      <c r="T846" s="14"/>
    </row>
    <row r="847">
      <c r="S847" s="14"/>
      <c r="T847" s="14"/>
    </row>
    <row r="848">
      <c r="S848" s="14"/>
      <c r="T848" s="14"/>
    </row>
    <row r="849">
      <c r="S849" s="14"/>
      <c r="T849" s="14"/>
    </row>
    <row r="850">
      <c r="S850" s="14"/>
      <c r="T850" s="14"/>
    </row>
    <row r="851">
      <c r="S851" s="14"/>
      <c r="T851" s="14"/>
    </row>
    <row r="852">
      <c r="S852" s="14"/>
      <c r="T852" s="14"/>
    </row>
    <row r="853">
      <c r="S853" s="14"/>
      <c r="T853" s="14"/>
    </row>
    <row r="854">
      <c r="S854" s="14"/>
      <c r="T854" s="14"/>
    </row>
    <row r="855">
      <c r="S855" s="14"/>
      <c r="T855" s="14"/>
    </row>
    <row r="856">
      <c r="S856" s="14"/>
      <c r="T856" s="14"/>
    </row>
    <row r="857">
      <c r="S857" s="14"/>
      <c r="T857" s="14"/>
    </row>
    <row r="858">
      <c r="S858" s="14"/>
      <c r="T858" s="14"/>
    </row>
    <row r="859">
      <c r="S859" s="14"/>
      <c r="T859" s="14"/>
    </row>
    <row r="860">
      <c r="S860" s="14"/>
      <c r="T860" s="14"/>
    </row>
    <row r="861">
      <c r="S861" s="14"/>
      <c r="T861" s="14"/>
    </row>
    <row r="862">
      <c r="S862" s="14"/>
      <c r="T862" s="14"/>
    </row>
    <row r="863">
      <c r="S863" s="14"/>
      <c r="T863" s="14"/>
    </row>
    <row r="864">
      <c r="S864" s="14"/>
      <c r="T864" s="14"/>
    </row>
    <row r="865">
      <c r="S865" s="14"/>
      <c r="T865" s="14"/>
    </row>
    <row r="866">
      <c r="S866" s="14"/>
      <c r="T866" s="14"/>
    </row>
    <row r="867">
      <c r="S867" s="14"/>
      <c r="T867" s="14"/>
    </row>
    <row r="868">
      <c r="S868" s="14"/>
      <c r="T868" s="14"/>
    </row>
    <row r="869">
      <c r="S869" s="14"/>
      <c r="T869" s="14"/>
    </row>
    <row r="870">
      <c r="S870" s="14"/>
      <c r="T870" s="14"/>
    </row>
    <row r="871">
      <c r="S871" s="14"/>
      <c r="T871" s="14"/>
    </row>
    <row r="872">
      <c r="S872" s="14"/>
      <c r="T872" s="14"/>
    </row>
    <row r="873">
      <c r="S873" s="14"/>
      <c r="T873" s="14"/>
    </row>
    <row r="874">
      <c r="S874" s="14"/>
      <c r="T874" s="14"/>
    </row>
    <row r="875">
      <c r="S875" s="14"/>
      <c r="T875" s="14"/>
    </row>
    <row r="876">
      <c r="S876" s="14"/>
      <c r="T876" s="14"/>
    </row>
    <row r="877">
      <c r="S877" s="14"/>
      <c r="T877" s="14"/>
    </row>
    <row r="878">
      <c r="S878" s="14"/>
      <c r="T878" s="14"/>
    </row>
    <row r="879">
      <c r="S879" s="14"/>
      <c r="T879" s="14"/>
    </row>
    <row r="880">
      <c r="S880" s="14"/>
      <c r="T880" s="14"/>
    </row>
    <row r="881">
      <c r="S881" s="14"/>
      <c r="T881" s="14"/>
    </row>
    <row r="882">
      <c r="S882" s="14"/>
      <c r="T882" s="14"/>
    </row>
    <row r="883">
      <c r="S883" s="14"/>
      <c r="T883" s="14"/>
    </row>
    <row r="884">
      <c r="S884" s="14"/>
      <c r="T884" s="14"/>
    </row>
    <row r="885">
      <c r="S885" s="14"/>
      <c r="T885" s="14"/>
    </row>
    <row r="886">
      <c r="S886" s="14"/>
      <c r="T886" s="14"/>
    </row>
    <row r="887">
      <c r="S887" s="14"/>
      <c r="T887" s="14"/>
    </row>
    <row r="888">
      <c r="S888" s="14"/>
      <c r="T888" s="14"/>
    </row>
    <row r="889">
      <c r="S889" s="14"/>
      <c r="T889" s="14"/>
    </row>
    <row r="890">
      <c r="S890" s="14"/>
      <c r="T890" s="14"/>
    </row>
    <row r="891">
      <c r="S891" s="14"/>
      <c r="T891" s="14"/>
    </row>
    <row r="892">
      <c r="S892" s="14"/>
      <c r="T892" s="14"/>
    </row>
    <row r="893">
      <c r="S893" s="14"/>
      <c r="T893" s="14"/>
    </row>
    <row r="894">
      <c r="S894" s="14"/>
      <c r="T894" s="14"/>
    </row>
    <row r="895">
      <c r="S895" s="14"/>
      <c r="T895" s="14"/>
    </row>
    <row r="896">
      <c r="S896" s="14"/>
      <c r="T896" s="14"/>
    </row>
    <row r="897">
      <c r="S897" s="14"/>
      <c r="T897" s="14"/>
    </row>
    <row r="898">
      <c r="S898" s="14"/>
      <c r="T898" s="14"/>
    </row>
    <row r="899">
      <c r="S899" s="14"/>
      <c r="T899" s="14"/>
    </row>
    <row r="900">
      <c r="S900" s="14"/>
      <c r="T900" s="14"/>
    </row>
    <row r="901">
      <c r="S901" s="14"/>
      <c r="T901" s="14"/>
    </row>
    <row r="902">
      <c r="S902" s="14"/>
      <c r="T902" s="14"/>
    </row>
    <row r="903">
      <c r="S903" s="14"/>
      <c r="T903" s="14"/>
    </row>
    <row r="904">
      <c r="S904" s="14"/>
      <c r="T904" s="14"/>
    </row>
    <row r="905">
      <c r="S905" s="14"/>
      <c r="T905" s="14"/>
    </row>
    <row r="906">
      <c r="S906" s="14"/>
      <c r="T906" s="14"/>
    </row>
    <row r="907">
      <c r="S907" s="14"/>
      <c r="T907" s="14"/>
    </row>
    <row r="908">
      <c r="S908" s="14"/>
      <c r="T908" s="14"/>
    </row>
    <row r="909">
      <c r="S909" s="14"/>
      <c r="T909" s="14"/>
    </row>
    <row r="910">
      <c r="S910" s="14"/>
      <c r="T910" s="14"/>
    </row>
    <row r="911">
      <c r="S911" s="14"/>
      <c r="T911" s="14"/>
    </row>
    <row r="912">
      <c r="S912" s="14"/>
      <c r="T912" s="14"/>
    </row>
    <row r="913">
      <c r="S913" s="14"/>
      <c r="T913" s="14"/>
    </row>
    <row r="914">
      <c r="S914" s="14"/>
      <c r="T914" s="14"/>
    </row>
    <row r="915">
      <c r="S915" s="14"/>
      <c r="T915" s="14"/>
    </row>
    <row r="916">
      <c r="S916" s="14"/>
      <c r="T916" s="14"/>
    </row>
    <row r="917">
      <c r="S917" s="14"/>
      <c r="T917" s="14"/>
    </row>
    <row r="918">
      <c r="S918" s="14"/>
      <c r="T918" s="14"/>
    </row>
    <row r="919">
      <c r="S919" s="14"/>
      <c r="T919" s="14"/>
    </row>
    <row r="920">
      <c r="S920" s="14"/>
      <c r="T920" s="14"/>
    </row>
    <row r="921">
      <c r="S921" s="14"/>
      <c r="T921" s="14"/>
    </row>
    <row r="922">
      <c r="S922" s="14"/>
      <c r="T922" s="14"/>
    </row>
    <row r="923">
      <c r="S923" s="14"/>
      <c r="T923" s="14"/>
    </row>
    <row r="924">
      <c r="S924" s="14"/>
      <c r="T924" s="14"/>
    </row>
    <row r="925">
      <c r="S925" s="14"/>
      <c r="T925" s="14"/>
    </row>
    <row r="926">
      <c r="S926" s="14"/>
      <c r="T926" s="14"/>
    </row>
    <row r="927">
      <c r="S927" s="14"/>
      <c r="T927" s="14"/>
    </row>
    <row r="928">
      <c r="S928" s="14"/>
      <c r="T928" s="14"/>
    </row>
    <row r="929">
      <c r="S929" s="14"/>
      <c r="T929" s="14"/>
    </row>
    <row r="930">
      <c r="S930" s="14"/>
      <c r="T930" s="14"/>
    </row>
    <row r="931">
      <c r="S931" s="14"/>
      <c r="T931" s="14"/>
    </row>
    <row r="932">
      <c r="S932" s="14"/>
      <c r="T932" s="14"/>
    </row>
    <row r="933">
      <c r="S933" s="14"/>
      <c r="T933" s="14"/>
    </row>
    <row r="934">
      <c r="S934" s="14"/>
      <c r="T934" s="14"/>
    </row>
    <row r="935">
      <c r="S935" s="14"/>
      <c r="T935" s="14"/>
    </row>
    <row r="936">
      <c r="S936" s="14"/>
      <c r="T936" s="14"/>
    </row>
    <row r="937">
      <c r="S937" s="14"/>
      <c r="T937" s="14"/>
    </row>
    <row r="938">
      <c r="S938" s="14"/>
      <c r="T938" s="14"/>
    </row>
    <row r="939">
      <c r="S939" s="14"/>
      <c r="T939" s="14"/>
    </row>
    <row r="940">
      <c r="S940" s="14"/>
      <c r="T940" s="14"/>
    </row>
    <row r="941">
      <c r="S941" s="14"/>
      <c r="T941" s="14"/>
    </row>
    <row r="942">
      <c r="S942" s="14"/>
      <c r="T942" s="14"/>
    </row>
    <row r="943">
      <c r="S943" s="14"/>
      <c r="T943" s="14"/>
    </row>
    <row r="944">
      <c r="S944" s="14"/>
      <c r="T944" s="14"/>
    </row>
    <row r="945">
      <c r="S945" s="14"/>
      <c r="T945" s="14"/>
    </row>
    <row r="946">
      <c r="S946" s="14"/>
      <c r="T946" s="14"/>
    </row>
    <row r="947">
      <c r="S947" s="14"/>
      <c r="T947" s="14"/>
    </row>
    <row r="948">
      <c r="S948" s="14"/>
      <c r="T948" s="14"/>
    </row>
    <row r="949">
      <c r="S949" s="14"/>
      <c r="T949" s="14"/>
    </row>
    <row r="950">
      <c r="S950" s="14"/>
      <c r="T950" s="14"/>
    </row>
    <row r="951">
      <c r="S951" s="14"/>
      <c r="T951" s="14"/>
    </row>
    <row r="952">
      <c r="S952" s="14"/>
      <c r="T952" s="14"/>
    </row>
    <row r="953">
      <c r="S953" s="14"/>
      <c r="T953" s="14"/>
    </row>
    <row r="954">
      <c r="S954" s="14"/>
      <c r="T954" s="14"/>
    </row>
    <row r="955">
      <c r="S955" s="14"/>
      <c r="T955" s="14"/>
    </row>
    <row r="956">
      <c r="S956" s="14"/>
      <c r="T956" s="14"/>
    </row>
    <row r="957">
      <c r="S957" s="14"/>
      <c r="T957" s="14"/>
    </row>
    <row r="958">
      <c r="S958" s="14"/>
      <c r="T958" s="14"/>
    </row>
    <row r="959">
      <c r="S959" s="14"/>
      <c r="T959" s="14"/>
    </row>
    <row r="960">
      <c r="S960" s="14"/>
      <c r="T960" s="14"/>
    </row>
    <row r="961">
      <c r="S961" s="14"/>
      <c r="T961" s="14"/>
    </row>
    <row r="962">
      <c r="S962" s="14"/>
      <c r="T962" s="14"/>
    </row>
    <row r="963">
      <c r="S963" s="14"/>
      <c r="T963" s="14"/>
    </row>
    <row r="964">
      <c r="S964" s="14"/>
      <c r="T964" s="14"/>
    </row>
    <row r="965">
      <c r="S965" s="14"/>
      <c r="T965" s="14"/>
    </row>
    <row r="966">
      <c r="S966" s="14"/>
      <c r="T966" s="14"/>
    </row>
    <row r="967">
      <c r="S967" s="14"/>
      <c r="T967" s="14"/>
    </row>
    <row r="968">
      <c r="S968" s="14"/>
      <c r="T968" s="14"/>
    </row>
    <row r="969">
      <c r="S969" s="14"/>
      <c r="T969" s="14"/>
    </row>
    <row r="970">
      <c r="S970" s="14"/>
      <c r="T970" s="14"/>
    </row>
    <row r="971">
      <c r="S971" s="14"/>
      <c r="T971" s="14"/>
    </row>
    <row r="972">
      <c r="S972" s="14"/>
      <c r="T972" s="14"/>
    </row>
    <row r="973">
      <c r="S973" s="14"/>
      <c r="T973" s="14"/>
    </row>
    <row r="974">
      <c r="S974" s="14"/>
      <c r="T974" s="14"/>
    </row>
    <row r="975">
      <c r="S975" s="14"/>
      <c r="T975" s="14"/>
    </row>
    <row r="976">
      <c r="S976" s="14"/>
      <c r="T976" s="14"/>
    </row>
    <row r="977">
      <c r="S977" s="14"/>
      <c r="T977" s="14"/>
    </row>
    <row r="978">
      <c r="S978" s="14"/>
      <c r="T978" s="14"/>
    </row>
    <row r="979">
      <c r="S979" s="14"/>
      <c r="T979" s="14"/>
    </row>
    <row r="980">
      <c r="S980" s="14"/>
      <c r="T980" s="14"/>
    </row>
    <row r="981">
      <c r="S981" s="14"/>
      <c r="T981" s="14"/>
    </row>
    <row r="982">
      <c r="S982" s="14"/>
      <c r="T982" s="14"/>
    </row>
    <row r="983">
      <c r="S983" s="14"/>
      <c r="T983" s="14"/>
    </row>
    <row r="984">
      <c r="S984" s="14"/>
      <c r="T984" s="14"/>
    </row>
    <row r="985">
      <c r="S985" s="14"/>
      <c r="T985" s="14"/>
    </row>
    <row r="986">
      <c r="S986" s="14"/>
      <c r="T986" s="14"/>
    </row>
    <row r="987">
      <c r="S987" s="14"/>
      <c r="T987" s="14"/>
    </row>
    <row r="988">
      <c r="S988" s="14"/>
      <c r="T988" s="14"/>
    </row>
    <row r="989">
      <c r="S989" s="14"/>
      <c r="T989" s="14"/>
    </row>
    <row r="990">
      <c r="S990" s="14"/>
      <c r="T990" s="14"/>
    </row>
    <row r="991">
      <c r="S991" s="14"/>
      <c r="T991" s="14"/>
    </row>
    <row r="992">
      <c r="S992" s="14"/>
      <c r="T992" s="14"/>
    </row>
    <row r="993">
      <c r="S993" s="14"/>
      <c r="T993" s="14"/>
    </row>
    <row r="994">
      <c r="S994" s="14"/>
      <c r="T994" s="14"/>
    </row>
    <row r="995">
      <c r="S995" s="14"/>
      <c r="T995" s="14"/>
    </row>
    <row r="996">
      <c r="S996" s="14"/>
      <c r="T996" s="14"/>
    </row>
    <row r="997">
      <c r="S997" s="14"/>
      <c r="T997" s="14"/>
    </row>
    <row r="998">
      <c r="S998" s="14"/>
      <c r="T998" s="14"/>
    </row>
    <row r="999">
      <c r="S999" s="14"/>
      <c r="T999" s="14"/>
    </row>
    <row r="1000">
      <c r="S1000" s="14"/>
      <c r="T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0">
        <v>45964.0</v>
      </c>
      <c r="C1" s="20">
        <v>45966.0</v>
      </c>
      <c r="D1" s="7" t="s">
        <v>68</v>
      </c>
      <c r="E1" s="20">
        <v>45968.0</v>
      </c>
      <c r="F1" s="7" t="s">
        <v>68</v>
      </c>
      <c r="G1" s="20">
        <v>45971.0</v>
      </c>
      <c r="H1" s="7" t="s">
        <v>68</v>
      </c>
      <c r="I1" s="20">
        <v>45973.0</v>
      </c>
      <c r="J1" s="7" t="s">
        <v>68</v>
      </c>
      <c r="K1" s="20">
        <v>45975.0</v>
      </c>
      <c r="L1" s="7" t="s">
        <v>69</v>
      </c>
      <c r="M1" s="20">
        <v>45978.0</v>
      </c>
      <c r="N1" s="7" t="s">
        <v>70</v>
      </c>
      <c r="O1" s="21">
        <v>45979.0</v>
      </c>
      <c r="P1" s="7" t="s">
        <v>71</v>
      </c>
      <c r="Q1" s="20">
        <v>45985.0</v>
      </c>
      <c r="R1" s="7" t="s">
        <v>72</v>
      </c>
      <c r="S1" s="22">
        <v>45992.0</v>
      </c>
      <c r="T1" s="7" t="s">
        <v>73</v>
      </c>
    </row>
    <row r="2">
      <c r="A2" s="7">
        <v>1.0</v>
      </c>
      <c r="B2" s="9">
        <v>26.62</v>
      </c>
      <c r="C2" s="10">
        <v>26.93</v>
      </c>
      <c r="D2" s="9">
        <f t="shared" ref="D2:D21" si="1">C2-B2</f>
        <v>0.31</v>
      </c>
      <c r="E2" s="9">
        <v>27.32</v>
      </c>
      <c r="F2" s="10">
        <f t="shared" ref="F2:F21" si="2">E2-C2</f>
        <v>0.39</v>
      </c>
      <c r="G2" s="10">
        <v>28.13</v>
      </c>
      <c r="H2" s="9">
        <f t="shared" ref="H2:H21" si="3">G2-E2</f>
        <v>0.81</v>
      </c>
      <c r="I2" s="9">
        <v>27.55</v>
      </c>
      <c r="J2" s="10">
        <f t="shared" ref="J2:J21" si="4">I2-G2</f>
        <v>-0.58</v>
      </c>
      <c r="K2" s="10">
        <v>27.27</v>
      </c>
      <c r="L2" s="10">
        <f t="shared" ref="L2:L21" si="5">K2-I2</f>
        <v>-0.28</v>
      </c>
      <c r="M2" s="7">
        <v>29.01</v>
      </c>
      <c r="N2" s="8">
        <f t="shared" ref="N2:N21" si="6">M2-B2</f>
        <v>2.39</v>
      </c>
      <c r="O2" s="23">
        <v>29.45</v>
      </c>
      <c r="P2" s="8">
        <f t="shared" ref="P2:P21" si="7">O2-M2</f>
        <v>0.44</v>
      </c>
      <c r="Q2" s="7">
        <v>33.42</v>
      </c>
      <c r="R2" s="8">
        <f t="shared" ref="R2:R21" si="8">Q2-O2</f>
        <v>3.97</v>
      </c>
      <c r="S2" s="7">
        <v>35.0</v>
      </c>
      <c r="T2" s="8">
        <f t="shared" ref="T2:T21" si="9">S2-Q2</f>
        <v>1.58</v>
      </c>
    </row>
    <row r="3">
      <c r="A3" s="7">
        <v>2.0</v>
      </c>
      <c r="B3" s="9">
        <v>26.23</v>
      </c>
      <c r="C3" s="10">
        <v>25.85</v>
      </c>
      <c r="D3" s="9">
        <f t="shared" si="1"/>
        <v>-0.38</v>
      </c>
      <c r="E3" s="9">
        <v>26.21</v>
      </c>
      <c r="F3" s="10">
        <f t="shared" si="2"/>
        <v>0.36</v>
      </c>
      <c r="G3" s="10">
        <v>27.31</v>
      </c>
      <c r="H3" s="9">
        <f t="shared" si="3"/>
        <v>1.1</v>
      </c>
      <c r="I3" s="9">
        <v>26.99</v>
      </c>
      <c r="J3" s="10">
        <f t="shared" si="4"/>
        <v>-0.32</v>
      </c>
      <c r="K3" s="10">
        <v>26.45</v>
      </c>
      <c r="L3" s="10">
        <f t="shared" si="5"/>
        <v>-0.54</v>
      </c>
      <c r="M3" s="7">
        <v>27.85</v>
      </c>
      <c r="N3" s="8">
        <f t="shared" si="6"/>
        <v>1.62</v>
      </c>
      <c r="O3" s="23">
        <v>28.77</v>
      </c>
      <c r="P3" s="8">
        <f t="shared" si="7"/>
        <v>0.92</v>
      </c>
      <c r="Q3" s="7">
        <v>30.99</v>
      </c>
      <c r="R3" s="8">
        <f t="shared" si="8"/>
        <v>2.22</v>
      </c>
      <c r="S3" s="7">
        <v>32.82</v>
      </c>
      <c r="T3" s="8">
        <f t="shared" si="9"/>
        <v>1.83</v>
      </c>
    </row>
    <row r="4">
      <c r="A4" s="7">
        <v>3.0</v>
      </c>
      <c r="B4" s="9">
        <v>27.03</v>
      </c>
      <c r="C4" s="10">
        <v>27.48</v>
      </c>
      <c r="D4" s="9">
        <f t="shared" si="1"/>
        <v>0.45</v>
      </c>
      <c r="E4" s="9">
        <v>27.44</v>
      </c>
      <c r="F4" s="10">
        <f t="shared" si="2"/>
        <v>-0.04</v>
      </c>
      <c r="G4" s="10">
        <v>29.21</v>
      </c>
      <c r="H4" s="9">
        <f t="shared" si="3"/>
        <v>1.77</v>
      </c>
      <c r="I4" s="9">
        <v>28.57</v>
      </c>
      <c r="J4" s="10">
        <f t="shared" si="4"/>
        <v>-0.64</v>
      </c>
      <c r="K4" s="10">
        <v>28.35</v>
      </c>
      <c r="L4" s="10">
        <f t="shared" si="5"/>
        <v>-0.22</v>
      </c>
      <c r="M4" s="7">
        <v>30.23</v>
      </c>
      <c r="N4" s="8">
        <f t="shared" si="6"/>
        <v>3.2</v>
      </c>
      <c r="O4" s="23">
        <v>31.66</v>
      </c>
      <c r="P4" s="8">
        <f t="shared" si="7"/>
        <v>1.43</v>
      </c>
      <c r="Q4" s="7">
        <v>36.03</v>
      </c>
      <c r="R4" s="8">
        <f t="shared" si="8"/>
        <v>4.37</v>
      </c>
      <c r="S4" s="7">
        <v>38.18</v>
      </c>
      <c r="T4" s="8">
        <f t="shared" si="9"/>
        <v>2.15</v>
      </c>
    </row>
    <row r="5">
      <c r="A5" s="7">
        <v>4.0</v>
      </c>
      <c r="B5" s="9">
        <v>26.64</v>
      </c>
      <c r="C5" s="10">
        <v>26.27</v>
      </c>
      <c r="D5" s="9">
        <f t="shared" si="1"/>
        <v>-0.37</v>
      </c>
      <c r="E5" s="9">
        <v>26.83</v>
      </c>
      <c r="F5" s="10">
        <f t="shared" si="2"/>
        <v>0.56</v>
      </c>
      <c r="G5" s="10">
        <v>27.85</v>
      </c>
      <c r="H5" s="9">
        <f t="shared" si="3"/>
        <v>1.02</v>
      </c>
      <c r="I5" s="9">
        <v>27.2</v>
      </c>
      <c r="J5" s="10">
        <f t="shared" si="4"/>
        <v>-0.65</v>
      </c>
      <c r="K5" s="10">
        <v>27.0</v>
      </c>
      <c r="L5" s="10">
        <f t="shared" si="5"/>
        <v>-0.2</v>
      </c>
      <c r="M5" s="7">
        <v>28.57</v>
      </c>
      <c r="N5" s="8">
        <f t="shared" si="6"/>
        <v>1.93</v>
      </c>
      <c r="O5" s="23">
        <v>28.83</v>
      </c>
      <c r="P5" s="8">
        <f t="shared" si="7"/>
        <v>0.26</v>
      </c>
      <c r="Q5" s="7">
        <v>31.51</v>
      </c>
      <c r="R5" s="8">
        <f t="shared" si="8"/>
        <v>2.68</v>
      </c>
      <c r="S5" s="7">
        <v>33.34</v>
      </c>
      <c r="T5" s="8">
        <f t="shared" si="9"/>
        <v>1.83</v>
      </c>
    </row>
    <row r="6">
      <c r="A6" s="7">
        <v>5.0</v>
      </c>
      <c r="B6" s="9">
        <v>23.75</v>
      </c>
      <c r="C6" s="10">
        <v>23.6</v>
      </c>
      <c r="D6" s="9">
        <f t="shared" si="1"/>
        <v>-0.15</v>
      </c>
      <c r="E6" s="9">
        <v>24.03</v>
      </c>
      <c r="F6" s="10">
        <f t="shared" si="2"/>
        <v>0.43</v>
      </c>
      <c r="G6" s="10">
        <v>25.44</v>
      </c>
      <c r="H6" s="9">
        <f t="shared" si="3"/>
        <v>1.41</v>
      </c>
      <c r="I6" s="9">
        <v>25.0</v>
      </c>
      <c r="J6" s="10">
        <f t="shared" si="4"/>
        <v>-0.44</v>
      </c>
      <c r="K6" s="10">
        <v>24.14</v>
      </c>
      <c r="L6" s="10">
        <f t="shared" si="5"/>
        <v>-0.86</v>
      </c>
      <c r="M6" s="7">
        <v>26.01</v>
      </c>
      <c r="N6" s="8">
        <f t="shared" si="6"/>
        <v>2.26</v>
      </c>
      <c r="O6" s="23">
        <v>26.3</v>
      </c>
      <c r="P6" s="8">
        <f t="shared" si="7"/>
        <v>0.29</v>
      </c>
      <c r="Q6" s="7">
        <v>28.3</v>
      </c>
      <c r="R6" s="8">
        <f t="shared" si="8"/>
        <v>2</v>
      </c>
      <c r="S6" s="7">
        <v>28.78</v>
      </c>
      <c r="T6" s="8">
        <f t="shared" si="9"/>
        <v>0.48</v>
      </c>
    </row>
    <row r="7">
      <c r="A7" s="7">
        <v>6.0</v>
      </c>
      <c r="B7" s="9">
        <v>27.54</v>
      </c>
      <c r="C7" s="10">
        <v>25.2</v>
      </c>
      <c r="D7" s="9">
        <f t="shared" si="1"/>
        <v>-2.34</v>
      </c>
      <c r="E7" s="9">
        <v>26.38</v>
      </c>
      <c r="F7" s="10">
        <f t="shared" si="2"/>
        <v>1.18</v>
      </c>
      <c r="G7" s="10">
        <v>27.22</v>
      </c>
      <c r="H7" s="9">
        <f t="shared" si="3"/>
        <v>0.84</v>
      </c>
      <c r="I7" s="9">
        <v>27.53</v>
      </c>
      <c r="J7" s="10">
        <f t="shared" si="4"/>
        <v>0.31</v>
      </c>
      <c r="K7" s="10">
        <v>26.89</v>
      </c>
      <c r="L7" s="10">
        <f t="shared" si="5"/>
        <v>-0.64</v>
      </c>
      <c r="M7" s="7">
        <v>27.89</v>
      </c>
      <c r="N7" s="8">
        <f t="shared" si="6"/>
        <v>0.35</v>
      </c>
      <c r="O7" s="23">
        <v>29.11</v>
      </c>
      <c r="P7" s="8">
        <f t="shared" si="7"/>
        <v>1.22</v>
      </c>
      <c r="Q7" s="7">
        <v>31.97</v>
      </c>
      <c r="R7" s="8">
        <f t="shared" si="8"/>
        <v>2.86</v>
      </c>
      <c r="S7" s="7">
        <v>35.67</v>
      </c>
      <c r="T7" s="8">
        <f t="shared" si="9"/>
        <v>3.7</v>
      </c>
    </row>
    <row r="8">
      <c r="A8" s="7">
        <v>7.0</v>
      </c>
      <c r="B8" s="9">
        <v>26.44</v>
      </c>
      <c r="C8" s="10">
        <v>25.36</v>
      </c>
      <c r="D8" s="9">
        <f t="shared" si="1"/>
        <v>-1.08</v>
      </c>
      <c r="E8" s="9">
        <v>26.15</v>
      </c>
      <c r="F8" s="10">
        <f t="shared" si="2"/>
        <v>0.79</v>
      </c>
      <c r="G8" s="10">
        <v>25.82</v>
      </c>
      <c r="H8" s="9">
        <f t="shared" si="3"/>
        <v>-0.33</v>
      </c>
      <c r="I8" s="9">
        <v>26.23</v>
      </c>
      <c r="J8" s="10">
        <f t="shared" si="4"/>
        <v>0.41</v>
      </c>
      <c r="K8" s="10">
        <v>26.0</v>
      </c>
      <c r="L8" s="10">
        <f t="shared" si="5"/>
        <v>-0.23</v>
      </c>
      <c r="M8" s="7">
        <v>27.85</v>
      </c>
      <c r="N8" s="8">
        <f t="shared" si="6"/>
        <v>1.41</v>
      </c>
      <c r="O8" s="23">
        <v>29.1</v>
      </c>
      <c r="P8" s="8">
        <f t="shared" si="7"/>
        <v>1.25</v>
      </c>
      <c r="Q8" s="7">
        <v>33.16</v>
      </c>
      <c r="R8" s="8">
        <f t="shared" si="8"/>
        <v>4.06</v>
      </c>
      <c r="S8" s="7">
        <v>35.48</v>
      </c>
      <c r="T8" s="8">
        <f t="shared" si="9"/>
        <v>2.32</v>
      </c>
    </row>
    <row r="9">
      <c r="A9" s="7">
        <v>8.0</v>
      </c>
      <c r="B9" s="9">
        <v>28.54</v>
      </c>
      <c r="C9" s="10">
        <v>29.15</v>
      </c>
      <c r="D9" s="9">
        <f t="shared" si="1"/>
        <v>0.61</v>
      </c>
      <c r="E9" s="9">
        <v>28.22</v>
      </c>
      <c r="F9" s="10">
        <f t="shared" si="2"/>
        <v>-0.93</v>
      </c>
      <c r="G9" s="10">
        <v>28.7</v>
      </c>
      <c r="H9" s="9">
        <f t="shared" si="3"/>
        <v>0.48</v>
      </c>
      <c r="I9" s="9">
        <v>28.82</v>
      </c>
      <c r="J9" s="10">
        <f t="shared" si="4"/>
        <v>0.12</v>
      </c>
      <c r="K9" s="10">
        <v>28.38</v>
      </c>
      <c r="L9" s="10">
        <f t="shared" si="5"/>
        <v>-0.44</v>
      </c>
      <c r="M9" s="7">
        <v>30.75</v>
      </c>
      <c r="N9" s="8">
        <f t="shared" si="6"/>
        <v>2.21</v>
      </c>
      <c r="O9" s="23">
        <v>31.32</v>
      </c>
      <c r="P9" s="8">
        <f t="shared" si="7"/>
        <v>0.57</v>
      </c>
      <c r="Q9" s="7">
        <v>34.51</v>
      </c>
      <c r="R9" s="8">
        <f t="shared" si="8"/>
        <v>3.19</v>
      </c>
      <c r="S9" s="7">
        <v>36.19</v>
      </c>
      <c r="T9" s="8">
        <f t="shared" si="9"/>
        <v>1.68</v>
      </c>
    </row>
    <row r="10">
      <c r="A10" s="7">
        <v>9.0</v>
      </c>
      <c r="B10" s="9">
        <v>27.39</v>
      </c>
      <c r="C10" s="10">
        <v>26.28</v>
      </c>
      <c r="D10" s="9">
        <f t="shared" si="1"/>
        <v>-1.11</v>
      </c>
      <c r="E10" s="9">
        <v>27.18</v>
      </c>
      <c r="F10" s="10">
        <f t="shared" si="2"/>
        <v>0.9</v>
      </c>
      <c r="G10" s="10">
        <v>26.01</v>
      </c>
      <c r="H10" s="9">
        <f t="shared" si="3"/>
        <v>-1.17</v>
      </c>
      <c r="I10" s="9">
        <v>27.33</v>
      </c>
      <c r="J10" s="10">
        <f t="shared" si="4"/>
        <v>1.32</v>
      </c>
      <c r="K10" s="10">
        <v>27.83</v>
      </c>
      <c r="L10" s="10">
        <f t="shared" si="5"/>
        <v>0.5</v>
      </c>
      <c r="M10" s="7">
        <v>29.76</v>
      </c>
      <c r="N10" s="8">
        <f t="shared" si="6"/>
        <v>2.37</v>
      </c>
      <c r="O10" s="23">
        <v>30.24</v>
      </c>
      <c r="P10" s="8">
        <f t="shared" si="7"/>
        <v>0.48</v>
      </c>
      <c r="Q10" s="7">
        <v>32.83</v>
      </c>
      <c r="R10" s="8">
        <f t="shared" si="8"/>
        <v>2.59</v>
      </c>
      <c r="S10" s="7">
        <v>34.6</v>
      </c>
      <c r="T10" s="8">
        <f t="shared" si="9"/>
        <v>1.77</v>
      </c>
    </row>
    <row r="11">
      <c r="A11" s="7">
        <v>10.0</v>
      </c>
      <c r="B11" s="9">
        <v>25.37</v>
      </c>
      <c r="C11" s="10">
        <v>25.48</v>
      </c>
      <c r="D11" s="9">
        <f t="shared" si="1"/>
        <v>0.11</v>
      </c>
      <c r="E11" s="9">
        <v>25.9</v>
      </c>
      <c r="F11" s="10">
        <f t="shared" si="2"/>
        <v>0.42</v>
      </c>
      <c r="G11" s="10">
        <v>26.19</v>
      </c>
      <c r="H11" s="9">
        <f t="shared" si="3"/>
        <v>0.29</v>
      </c>
      <c r="I11" s="9">
        <v>25.9</v>
      </c>
      <c r="J11" s="10">
        <f t="shared" si="4"/>
        <v>-0.29</v>
      </c>
      <c r="K11" s="10">
        <v>25.03</v>
      </c>
      <c r="L11" s="10">
        <f t="shared" si="5"/>
        <v>-0.87</v>
      </c>
      <c r="M11" s="7">
        <v>27.11</v>
      </c>
      <c r="N11" s="8">
        <f t="shared" si="6"/>
        <v>1.74</v>
      </c>
      <c r="O11" s="23">
        <v>27.34</v>
      </c>
      <c r="P11" s="8">
        <f t="shared" si="7"/>
        <v>0.23</v>
      </c>
      <c r="Q11" s="7">
        <v>29.56</v>
      </c>
      <c r="R11" s="8">
        <f t="shared" si="8"/>
        <v>2.22</v>
      </c>
      <c r="S11" s="7">
        <v>31.72</v>
      </c>
      <c r="T11" s="8">
        <f t="shared" si="9"/>
        <v>2.16</v>
      </c>
    </row>
    <row r="12">
      <c r="A12" s="7">
        <v>11.0</v>
      </c>
      <c r="B12" s="9">
        <v>28.99</v>
      </c>
      <c r="C12" s="10">
        <v>28.18</v>
      </c>
      <c r="D12" s="9">
        <f t="shared" si="1"/>
        <v>-0.81</v>
      </c>
      <c r="E12" s="9">
        <v>28.71</v>
      </c>
      <c r="F12" s="10">
        <f t="shared" si="2"/>
        <v>0.53</v>
      </c>
      <c r="G12" s="10">
        <v>29.87</v>
      </c>
      <c r="H12" s="9">
        <f t="shared" si="3"/>
        <v>1.16</v>
      </c>
      <c r="I12" s="9">
        <v>28.1</v>
      </c>
      <c r="J12" s="10">
        <f t="shared" si="4"/>
        <v>-1.77</v>
      </c>
      <c r="K12" s="10">
        <v>27.31</v>
      </c>
      <c r="L12" s="10">
        <f t="shared" si="5"/>
        <v>-0.79</v>
      </c>
      <c r="M12" s="7">
        <v>28.67</v>
      </c>
      <c r="N12" s="8">
        <f t="shared" si="6"/>
        <v>-0.32</v>
      </c>
      <c r="O12" s="23">
        <v>28.83</v>
      </c>
      <c r="P12" s="8">
        <f t="shared" si="7"/>
        <v>0.16</v>
      </c>
      <c r="Q12" s="7">
        <v>31.52</v>
      </c>
      <c r="R12" s="8">
        <f t="shared" si="8"/>
        <v>2.69</v>
      </c>
      <c r="S12" s="7">
        <v>33.54</v>
      </c>
      <c r="T12" s="8">
        <f t="shared" si="9"/>
        <v>2.02</v>
      </c>
    </row>
    <row r="13">
      <c r="A13" s="7">
        <v>12.0</v>
      </c>
      <c r="B13" s="9">
        <v>27.35</v>
      </c>
      <c r="C13" s="10">
        <v>25.93</v>
      </c>
      <c r="D13" s="9">
        <f t="shared" si="1"/>
        <v>-1.42</v>
      </c>
      <c r="E13" s="9">
        <v>26.37</v>
      </c>
      <c r="F13" s="10">
        <f t="shared" si="2"/>
        <v>0.44</v>
      </c>
      <c r="G13" s="10">
        <v>27.03</v>
      </c>
      <c r="H13" s="9">
        <f t="shared" si="3"/>
        <v>0.66</v>
      </c>
      <c r="I13" s="9">
        <v>26.55</v>
      </c>
      <c r="J13" s="10">
        <f t="shared" si="4"/>
        <v>-0.48</v>
      </c>
      <c r="K13" s="10">
        <v>26.47</v>
      </c>
      <c r="L13" s="10">
        <f t="shared" si="5"/>
        <v>-0.08</v>
      </c>
      <c r="M13" s="7">
        <v>27.35</v>
      </c>
      <c r="N13" s="8">
        <f t="shared" si="6"/>
        <v>0</v>
      </c>
      <c r="O13" s="23">
        <v>28.45</v>
      </c>
      <c r="P13" s="8">
        <f t="shared" si="7"/>
        <v>1.1</v>
      </c>
      <c r="Q13" s="7">
        <v>30.03</v>
      </c>
      <c r="R13" s="8">
        <f t="shared" si="8"/>
        <v>1.58</v>
      </c>
      <c r="S13" s="7">
        <v>30.29</v>
      </c>
      <c r="T13" s="8">
        <f t="shared" si="9"/>
        <v>0.26</v>
      </c>
    </row>
    <row r="14">
      <c r="A14" s="7">
        <v>13.0</v>
      </c>
      <c r="B14" s="9">
        <v>26.36</v>
      </c>
      <c r="C14" s="10">
        <v>26.44</v>
      </c>
      <c r="D14" s="9">
        <f t="shared" si="1"/>
        <v>0.08</v>
      </c>
      <c r="E14" s="9">
        <v>27.43</v>
      </c>
      <c r="F14" s="10">
        <f t="shared" si="2"/>
        <v>0.99</v>
      </c>
      <c r="G14" s="10">
        <v>27.44</v>
      </c>
      <c r="H14" s="9">
        <f t="shared" si="3"/>
        <v>0.01</v>
      </c>
      <c r="I14" s="9">
        <v>26.57</v>
      </c>
      <c r="J14" s="10">
        <f t="shared" si="4"/>
        <v>-0.87</v>
      </c>
      <c r="K14" s="10">
        <v>26.02</v>
      </c>
      <c r="L14" s="10">
        <f t="shared" si="5"/>
        <v>-0.55</v>
      </c>
      <c r="M14" s="7">
        <v>27.37</v>
      </c>
      <c r="N14" s="8">
        <f t="shared" si="6"/>
        <v>1.01</v>
      </c>
      <c r="O14" s="23">
        <v>27.09</v>
      </c>
      <c r="P14" s="8">
        <f t="shared" si="7"/>
        <v>-0.28</v>
      </c>
      <c r="Q14" s="7">
        <v>29.53</v>
      </c>
      <c r="R14" s="8">
        <f t="shared" si="8"/>
        <v>2.44</v>
      </c>
      <c r="S14" s="7">
        <v>31.51</v>
      </c>
      <c r="T14" s="8">
        <f t="shared" si="9"/>
        <v>1.98</v>
      </c>
    </row>
    <row r="15">
      <c r="A15" s="7">
        <v>14.0</v>
      </c>
      <c r="B15" s="9">
        <v>24.77</v>
      </c>
      <c r="C15" s="10">
        <v>25.0</v>
      </c>
      <c r="D15" s="9">
        <f t="shared" si="1"/>
        <v>0.23</v>
      </c>
      <c r="E15" s="9">
        <v>25.57</v>
      </c>
      <c r="F15" s="10">
        <f t="shared" si="2"/>
        <v>0.57</v>
      </c>
      <c r="G15" s="10">
        <v>26.49</v>
      </c>
      <c r="H15" s="9">
        <f t="shared" si="3"/>
        <v>0.92</v>
      </c>
      <c r="I15" s="9">
        <v>26.59</v>
      </c>
      <c r="J15" s="10">
        <f t="shared" si="4"/>
        <v>0.1</v>
      </c>
      <c r="K15" s="10">
        <v>26.03</v>
      </c>
      <c r="L15" s="10">
        <f t="shared" si="5"/>
        <v>-0.56</v>
      </c>
      <c r="M15" s="7">
        <v>25.82</v>
      </c>
      <c r="N15" s="8">
        <f t="shared" si="6"/>
        <v>1.05</v>
      </c>
      <c r="O15" s="23">
        <v>27.29</v>
      </c>
      <c r="P15" s="8">
        <f t="shared" si="7"/>
        <v>1.47</v>
      </c>
      <c r="Q15" s="7">
        <v>29.65</v>
      </c>
      <c r="R15" s="8">
        <f t="shared" si="8"/>
        <v>2.36</v>
      </c>
      <c r="S15" s="7">
        <v>30.52</v>
      </c>
      <c r="T15" s="8">
        <f t="shared" si="9"/>
        <v>0.87</v>
      </c>
    </row>
    <row r="16">
      <c r="A16" s="7">
        <v>15.0</v>
      </c>
      <c r="B16" s="9">
        <v>26.66</v>
      </c>
      <c r="C16" s="10">
        <v>26.21</v>
      </c>
      <c r="D16" s="9">
        <f t="shared" si="1"/>
        <v>-0.45</v>
      </c>
      <c r="E16" s="9">
        <v>26.48</v>
      </c>
      <c r="F16" s="10">
        <f t="shared" si="2"/>
        <v>0.27</v>
      </c>
      <c r="G16" s="10">
        <v>25.44</v>
      </c>
      <c r="H16" s="9">
        <f t="shared" si="3"/>
        <v>-1.04</v>
      </c>
      <c r="I16" s="9">
        <v>25.88</v>
      </c>
      <c r="J16" s="10">
        <f t="shared" si="4"/>
        <v>0.44</v>
      </c>
      <c r="K16" s="10">
        <v>25.83</v>
      </c>
      <c r="L16" s="10">
        <f t="shared" si="5"/>
        <v>-0.05</v>
      </c>
      <c r="M16" s="7">
        <v>27.32</v>
      </c>
      <c r="N16" s="8">
        <f t="shared" si="6"/>
        <v>0.66</v>
      </c>
      <c r="O16" s="23">
        <v>28.03</v>
      </c>
      <c r="P16" s="8">
        <f t="shared" si="7"/>
        <v>0.71</v>
      </c>
      <c r="Q16" s="7">
        <v>31.4</v>
      </c>
      <c r="R16" s="8">
        <f t="shared" si="8"/>
        <v>3.37</v>
      </c>
      <c r="S16" s="7">
        <v>33.13</v>
      </c>
      <c r="T16" s="8">
        <f t="shared" si="9"/>
        <v>1.73</v>
      </c>
    </row>
    <row r="17">
      <c r="A17" s="7">
        <v>16.0</v>
      </c>
      <c r="B17" s="9">
        <v>29.03</v>
      </c>
      <c r="C17" s="10">
        <v>29.01</v>
      </c>
      <c r="D17" s="9">
        <f t="shared" si="1"/>
        <v>-0.02</v>
      </c>
      <c r="E17" s="9">
        <v>28.99</v>
      </c>
      <c r="F17" s="10">
        <f t="shared" si="2"/>
        <v>-0.02</v>
      </c>
      <c r="G17" s="10">
        <v>28.4</v>
      </c>
      <c r="H17" s="9">
        <f t="shared" si="3"/>
        <v>-0.59</v>
      </c>
      <c r="I17" s="9">
        <v>28.51</v>
      </c>
      <c r="J17" s="10">
        <f t="shared" si="4"/>
        <v>0.11</v>
      </c>
      <c r="K17" s="10">
        <v>28.62</v>
      </c>
      <c r="L17" s="10">
        <f t="shared" si="5"/>
        <v>0.11</v>
      </c>
      <c r="M17" s="7">
        <v>30.27</v>
      </c>
      <c r="N17" s="8">
        <f t="shared" si="6"/>
        <v>1.24</v>
      </c>
      <c r="O17" s="23">
        <v>31.13</v>
      </c>
      <c r="P17" s="8">
        <f t="shared" si="7"/>
        <v>0.86</v>
      </c>
      <c r="Q17" s="7">
        <v>34.27</v>
      </c>
      <c r="R17" s="8">
        <f t="shared" si="8"/>
        <v>3.14</v>
      </c>
      <c r="S17" s="7">
        <v>37.01</v>
      </c>
      <c r="T17" s="8">
        <f t="shared" si="9"/>
        <v>2.74</v>
      </c>
    </row>
    <row r="18">
      <c r="A18" s="7">
        <v>17.0</v>
      </c>
      <c r="B18" s="9">
        <v>25.17</v>
      </c>
      <c r="C18" s="10">
        <v>25.16</v>
      </c>
      <c r="D18" s="9">
        <f t="shared" si="1"/>
        <v>-0.01</v>
      </c>
      <c r="E18" s="9">
        <v>25.02</v>
      </c>
      <c r="F18" s="10">
        <f t="shared" si="2"/>
        <v>-0.14</v>
      </c>
      <c r="G18" s="10">
        <v>24.99</v>
      </c>
      <c r="H18" s="9">
        <f t="shared" si="3"/>
        <v>-0.03</v>
      </c>
      <c r="I18" s="9">
        <v>25.11</v>
      </c>
      <c r="J18" s="10">
        <f t="shared" si="4"/>
        <v>0.12</v>
      </c>
      <c r="K18" s="10">
        <v>24.97</v>
      </c>
      <c r="L18" s="10">
        <f t="shared" si="5"/>
        <v>-0.14</v>
      </c>
      <c r="M18" s="7">
        <v>25.03</v>
      </c>
      <c r="N18" s="8">
        <f t="shared" si="6"/>
        <v>-0.14</v>
      </c>
      <c r="O18" s="23">
        <v>25.32</v>
      </c>
      <c r="P18" s="8">
        <f t="shared" si="7"/>
        <v>0.29</v>
      </c>
      <c r="Q18" s="7">
        <v>26.13</v>
      </c>
      <c r="R18" s="8">
        <f t="shared" si="8"/>
        <v>0.81</v>
      </c>
      <c r="S18" s="7">
        <v>26.52</v>
      </c>
      <c r="T18" s="8">
        <f t="shared" si="9"/>
        <v>0.39</v>
      </c>
    </row>
    <row r="19">
      <c r="A19" s="7">
        <v>18.0</v>
      </c>
      <c r="B19" s="9">
        <v>26.57</v>
      </c>
      <c r="C19" s="10">
        <v>26.42</v>
      </c>
      <c r="D19" s="9">
        <f t="shared" si="1"/>
        <v>-0.15</v>
      </c>
      <c r="E19" s="9">
        <v>27.36</v>
      </c>
      <c r="F19" s="10">
        <f t="shared" si="2"/>
        <v>0.94</v>
      </c>
      <c r="G19" s="10">
        <v>26.78</v>
      </c>
      <c r="H19" s="9">
        <f t="shared" si="3"/>
        <v>-0.58</v>
      </c>
      <c r="I19" s="9">
        <v>28.35</v>
      </c>
      <c r="J19" s="10">
        <f t="shared" si="4"/>
        <v>1.57</v>
      </c>
      <c r="K19" s="10">
        <v>27.13</v>
      </c>
      <c r="L19" s="10">
        <f t="shared" si="5"/>
        <v>-1.22</v>
      </c>
      <c r="M19" s="7">
        <v>29.46</v>
      </c>
      <c r="N19" s="8">
        <f t="shared" si="6"/>
        <v>2.89</v>
      </c>
      <c r="O19" s="23">
        <v>30.25</v>
      </c>
      <c r="P19" s="8">
        <f t="shared" si="7"/>
        <v>0.79</v>
      </c>
      <c r="Q19" s="7">
        <v>33.99</v>
      </c>
      <c r="R19" s="8">
        <f t="shared" si="8"/>
        <v>3.74</v>
      </c>
      <c r="S19" s="7">
        <v>37.29</v>
      </c>
      <c r="T19" s="8">
        <f t="shared" si="9"/>
        <v>3.3</v>
      </c>
    </row>
    <row r="20">
      <c r="A20" s="7">
        <v>19.0</v>
      </c>
      <c r="B20" s="9">
        <v>27.75</v>
      </c>
      <c r="C20" s="10">
        <v>27.0</v>
      </c>
      <c r="D20" s="9">
        <f t="shared" si="1"/>
        <v>-0.75</v>
      </c>
      <c r="E20" s="9">
        <v>27.64</v>
      </c>
      <c r="F20" s="10">
        <f t="shared" si="2"/>
        <v>0.64</v>
      </c>
      <c r="G20" s="10">
        <v>28.83</v>
      </c>
      <c r="H20" s="9">
        <f t="shared" si="3"/>
        <v>1.19</v>
      </c>
      <c r="I20" s="9">
        <v>28.87</v>
      </c>
      <c r="J20" s="10">
        <f t="shared" si="4"/>
        <v>0.04</v>
      </c>
      <c r="K20" s="10">
        <v>28.0</v>
      </c>
      <c r="L20" s="10">
        <f t="shared" si="5"/>
        <v>-0.87</v>
      </c>
      <c r="M20" s="7">
        <v>29.75</v>
      </c>
      <c r="N20" s="8">
        <f t="shared" si="6"/>
        <v>2</v>
      </c>
      <c r="O20" s="23">
        <v>30.32</v>
      </c>
      <c r="P20" s="8">
        <f t="shared" si="7"/>
        <v>0.57</v>
      </c>
      <c r="Q20" s="7">
        <v>33.86</v>
      </c>
      <c r="R20" s="8">
        <f t="shared" si="8"/>
        <v>3.54</v>
      </c>
      <c r="S20" s="7">
        <v>36.31</v>
      </c>
      <c r="T20" s="8">
        <f t="shared" si="9"/>
        <v>2.45</v>
      </c>
    </row>
    <row r="21">
      <c r="A21" s="7">
        <v>20.0</v>
      </c>
      <c r="B21" s="9">
        <v>26.02</v>
      </c>
      <c r="C21" s="10">
        <v>26.43</v>
      </c>
      <c r="D21" s="9">
        <f t="shared" si="1"/>
        <v>0.41</v>
      </c>
      <c r="E21" s="9">
        <v>26.76</v>
      </c>
      <c r="F21" s="10">
        <f t="shared" si="2"/>
        <v>0.33</v>
      </c>
      <c r="G21" s="10">
        <v>26.56</v>
      </c>
      <c r="H21" s="9">
        <f t="shared" si="3"/>
        <v>-0.2</v>
      </c>
      <c r="I21" s="9">
        <v>26.77</v>
      </c>
      <c r="J21" s="10">
        <f t="shared" si="4"/>
        <v>0.21</v>
      </c>
      <c r="K21" s="10">
        <v>26.41</v>
      </c>
      <c r="L21" s="10">
        <f t="shared" si="5"/>
        <v>-0.36</v>
      </c>
      <c r="M21" s="7">
        <v>28.57</v>
      </c>
      <c r="N21" s="8">
        <f t="shared" si="6"/>
        <v>2.55</v>
      </c>
      <c r="O21" s="23">
        <v>29.11</v>
      </c>
      <c r="P21" s="8">
        <f t="shared" si="7"/>
        <v>0.54</v>
      </c>
      <c r="Q21" s="7">
        <v>32.03</v>
      </c>
      <c r="R21" s="8">
        <f t="shared" si="8"/>
        <v>2.92</v>
      </c>
      <c r="S21" s="7">
        <v>34.48</v>
      </c>
      <c r="T21" s="8">
        <f t="shared" si="9"/>
        <v>2.45</v>
      </c>
    </row>
    <row r="22">
      <c r="B22" s="7" t="s">
        <v>74</v>
      </c>
      <c r="L22" s="7"/>
      <c r="M22" s="7" t="s">
        <v>75</v>
      </c>
      <c r="N22" s="7" t="s">
        <v>76</v>
      </c>
    </row>
    <row r="23">
      <c r="D23" s="7" t="s">
        <v>77</v>
      </c>
      <c r="F23" s="7" t="s">
        <v>78</v>
      </c>
      <c r="H23" s="7" t="s">
        <v>79</v>
      </c>
      <c r="J23" s="7" t="s">
        <v>80</v>
      </c>
      <c r="L23" s="7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L1" s="2" t="s">
        <v>5</v>
      </c>
      <c r="M1" s="3" t="s">
        <v>9</v>
      </c>
      <c r="N1" s="24" t="s">
        <v>68</v>
      </c>
      <c r="O1" s="3" t="s">
        <v>11</v>
      </c>
      <c r="P1" s="3" t="s">
        <v>16</v>
      </c>
      <c r="Q1" s="24" t="s">
        <v>68</v>
      </c>
      <c r="R1" s="3" t="s">
        <v>91</v>
      </c>
      <c r="S1" s="2" t="s">
        <v>20</v>
      </c>
      <c r="T1" s="24" t="s">
        <v>68</v>
      </c>
      <c r="U1" s="2" t="s">
        <v>24</v>
      </c>
      <c r="V1" s="24" t="s">
        <v>68</v>
      </c>
      <c r="W1" s="2" t="s">
        <v>92</v>
      </c>
      <c r="X1" s="2" t="s">
        <v>28</v>
      </c>
      <c r="Y1" s="24" t="s">
        <v>68</v>
      </c>
      <c r="Z1" s="2" t="s">
        <v>93</v>
      </c>
      <c r="AA1" s="2"/>
    </row>
    <row r="2">
      <c r="A2" s="7">
        <v>1.0</v>
      </c>
      <c r="B2" s="10">
        <v>-2.879999999999999</v>
      </c>
      <c r="C2" s="9">
        <v>-3.6799999999999926</v>
      </c>
      <c r="D2" s="10">
        <v>-3.219999999999999</v>
      </c>
      <c r="E2" s="9">
        <v>-1.3000000000000114</v>
      </c>
      <c r="F2" s="25">
        <v>-4.299999999999997</v>
      </c>
      <c r="G2" s="8">
        <f t="shared" ref="G2:G21" si="1">SUM(B2:F2)</f>
        <v>-15.38</v>
      </c>
      <c r="H2" s="8">
        <f t="shared" ref="H2:H21" si="2">G2/10</f>
        <v>-1.538</v>
      </c>
      <c r="J2" s="8">
        <v>0.4299999999999926</v>
      </c>
      <c r="L2" s="9">
        <v>24.27</v>
      </c>
      <c r="M2" s="10">
        <v>21.39</v>
      </c>
      <c r="N2" s="26">
        <f t="shared" ref="N2:N21" si="3">L2-M2</f>
        <v>2.88</v>
      </c>
      <c r="O2" s="10">
        <v>80.3</v>
      </c>
      <c r="P2" s="10">
        <v>76.62</v>
      </c>
      <c r="Q2" s="26">
        <f t="shared" ref="Q2:Q21" si="4">O2-P2</f>
        <v>3.68</v>
      </c>
      <c r="R2" s="10">
        <v>76.62</v>
      </c>
      <c r="S2" s="9">
        <v>73.4</v>
      </c>
      <c r="T2" s="26">
        <f t="shared" ref="T2:T21" si="5">R2-S2</f>
        <v>3.22</v>
      </c>
      <c r="U2" s="9">
        <v>72.1</v>
      </c>
      <c r="V2" s="26">
        <f t="shared" ref="V2:V21" si="6">S2-U2</f>
        <v>1.3</v>
      </c>
      <c r="W2" s="9">
        <v>81.49</v>
      </c>
      <c r="X2" s="9">
        <v>77.19</v>
      </c>
      <c r="Y2" s="26">
        <f t="shared" ref="Y2:Y21" si="7">W2-X2</f>
        <v>4.3</v>
      </c>
      <c r="Z2" s="27">
        <f t="shared" ref="Z2:Z21" si="8">SUM(N2,Q2,T2,V2,Y2)/12</f>
        <v>1.281666667</v>
      </c>
      <c r="AA2" s="9"/>
    </row>
    <row r="3">
      <c r="A3" s="7">
        <v>2.0</v>
      </c>
      <c r="B3" s="10">
        <v>-1.9200000000000017</v>
      </c>
      <c r="C3" s="9">
        <v>-1.1299999999999955</v>
      </c>
      <c r="D3" s="10">
        <v>-3.660000000000011</v>
      </c>
      <c r="E3" s="9">
        <v>-0.28999999999999204</v>
      </c>
      <c r="F3" s="25">
        <v>-3.030000000000001</v>
      </c>
      <c r="G3" s="8">
        <f t="shared" si="1"/>
        <v>-10.03</v>
      </c>
      <c r="H3" s="8">
        <f t="shared" si="2"/>
        <v>-1.003</v>
      </c>
      <c r="J3" s="8">
        <v>0.38000000000000966</v>
      </c>
      <c r="L3" s="9">
        <v>23.8</v>
      </c>
      <c r="M3" s="10">
        <v>21.88</v>
      </c>
      <c r="N3" s="26">
        <f t="shared" si="3"/>
        <v>1.92</v>
      </c>
      <c r="O3" s="10">
        <v>93.78</v>
      </c>
      <c r="P3" s="10">
        <v>92.65</v>
      </c>
      <c r="Q3" s="26">
        <f t="shared" si="4"/>
        <v>1.13</v>
      </c>
      <c r="R3" s="10">
        <v>89.68</v>
      </c>
      <c r="S3" s="9">
        <v>86.02</v>
      </c>
      <c r="T3" s="26">
        <f t="shared" si="5"/>
        <v>3.66</v>
      </c>
      <c r="U3" s="9">
        <v>85.73</v>
      </c>
      <c r="V3" s="26">
        <f t="shared" si="6"/>
        <v>0.29</v>
      </c>
      <c r="W3" s="9">
        <v>92.01</v>
      </c>
      <c r="X3" s="9">
        <v>88.98</v>
      </c>
      <c r="Y3" s="26">
        <f t="shared" si="7"/>
        <v>3.03</v>
      </c>
      <c r="Z3" s="27">
        <f t="shared" si="8"/>
        <v>0.8358333333</v>
      </c>
      <c r="AA3" s="9"/>
    </row>
    <row r="4">
      <c r="A4" s="7">
        <v>3.0</v>
      </c>
      <c r="B4" s="10">
        <v>-3.3200000000000003</v>
      </c>
      <c r="C4" s="9">
        <v>-1.8900000000000006</v>
      </c>
      <c r="D4" s="10">
        <v>-3.019999999999996</v>
      </c>
      <c r="E4" s="9">
        <v>-2.769999999999996</v>
      </c>
      <c r="F4" s="25">
        <v>-3.5799999999999983</v>
      </c>
      <c r="G4" s="8">
        <f t="shared" si="1"/>
        <v>-14.58</v>
      </c>
      <c r="H4" s="8">
        <f t="shared" si="2"/>
        <v>-1.458</v>
      </c>
      <c r="J4" s="8">
        <v>0.14000000000000057</v>
      </c>
      <c r="L4" s="9">
        <v>22.68</v>
      </c>
      <c r="M4" s="10">
        <v>19.36</v>
      </c>
      <c r="N4" s="26">
        <f t="shared" si="3"/>
        <v>3.32</v>
      </c>
      <c r="O4" s="10">
        <v>77.73</v>
      </c>
      <c r="P4" s="10">
        <v>75.84</v>
      </c>
      <c r="Q4" s="26">
        <f t="shared" si="4"/>
        <v>1.89</v>
      </c>
      <c r="R4" s="10">
        <v>77.02</v>
      </c>
      <c r="S4" s="9">
        <v>74.0</v>
      </c>
      <c r="T4" s="26">
        <f t="shared" si="5"/>
        <v>3.02</v>
      </c>
      <c r="U4" s="9">
        <v>71.23</v>
      </c>
      <c r="V4" s="26">
        <f t="shared" si="6"/>
        <v>2.77</v>
      </c>
      <c r="W4" s="9">
        <v>80.61</v>
      </c>
      <c r="X4" s="9">
        <v>77.03</v>
      </c>
      <c r="Y4" s="26">
        <f t="shared" si="7"/>
        <v>3.58</v>
      </c>
      <c r="Z4" s="27">
        <f t="shared" si="8"/>
        <v>1.215</v>
      </c>
      <c r="AA4" s="9"/>
    </row>
    <row r="5">
      <c r="A5" s="7">
        <v>4.0</v>
      </c>
      <c r="B5" s="10">
        <v>-1.3699999999999974</v>
      </c>
      <c r="C5" s="9">
        <v>-1.2000000000000028</v>
      </c>
      <c r="D5" s="10">
        <v>-3.039999999999992</v>
      </c>
      <c r="E5" s="9">
        <v>-2.440000000000012</v>
      </c>
      <c r="F5" s="25">
        <v>-2.8100000000000023</v>
      </c>
      <c r="G5" s="8">
        <f t="shared" si="1"/>
        <v>-10.86</v>
      </c>
      <c r="H5" s="8">
        <f t="shared" si="2"/>
        <v>-1.086</v>
      </c>
      <c r="J5" s="8">
        <v>0.35999999999999943</v>
      </c>
      <c r="L5" s="9">
        <v>21.58</v>
      </c>
      <c r="M5" s="10">
        <v>20.21</v>
      </c>
      <c r="N5" s="26">
        <f t="shared" si="3"/>
        <v>1.37</v>
      </c>
      <c r="O5" s="10">
        <v>79.89</v>
      </c>
      <c r="P5" s="10">
        <v>78.69</v>
      </c>
      <c r="Q5" s="26">
        <f t="shared" si="4"/>
        <v>1.2</v>
      </c>
      <c r="R5" s="10">
        <v>78.69</v>
      </c>
      <c r="S5" s="9">
        <v>75.65</v>
      </c>
      <c r="T5" s="26">
        <f t="shared" si="5"/>
        <v>3.04</v>
      </c>
      <c r="U5" s="9">
        <v>73.21</v>
      </c>
      <c r="V5" s="26">
        <f t="shared" si="6"/>
        <v>2.44</v>
      </c>
      <c r="W5" s="9">
        <v>78.43</v>
      </c>
      <c r="X5" s="9">
        <v>75.62</v>
      </c>
      <c r="Y5" s="26">
        <f t="shared" si="7"/>
        <v>2.81</v>
      </c>
      <c r="Z5" s="27">
        <f t="shared" si="8"/>
        <v>0.905</v>
      </c>
      <c r="AA5" s="9"/>
    </row>
    <row r="6">
      <c r="A6" s="7">
        <v>5.0</v>
      </c>
      <c r="B6" s="10">
        <v>-0.9499999999999993</v>
      </c>
      <c r="C6" s="9">
        <v>-1.1400000000000006</v>
      </c>
      <c r="D6" s="10">
        <v>-3.030000000000001</v>
      </c>
      <c r="E6" s="9">
        <v>-0.8700000000000045</v>
      </c>
      <c r="F6" s="25">
        <v>-0.7400000000000091</v>
      </c>
      <c r="G6" s="8">
        <f t="shared" si="1"/>
        <v>-6.73</v>
      </c>
      <c r="H6" s="8">
        <f t="shared" si="2"/>
        <v>-0.673</v>
      </c>
      <c r="J6" s="8">
        <v>0.14000000000000057</v>
      </c>
      <c r="L6" s="9">
        <v>20.77</v>
      </c>
      <c r="M6" s="10">
        <v>19.82</v>
      </c>
      <c r="N6" s="26">
        <f t="shared" si="3"/>
        <v>0.95</v>
      </c>
      <c r="O6" s="10">
        <v>91.84</v>
      </c>
      <c r="P6" s="10">
        <v>90.7</v>
      </c>
      <c r="Q6" s="26">
        <f t="shared" si="4"/>
        <v>1.14</v>
      </c>
      <c r="R6" s="10">
        <v>90.7</v>
      </c>
      <c r="S6" s="9">
        <v>87.67</v>
      </c>
      <c r="T6" s="26">
        <f t="shared" si="5"/>
        <v>3.03</v>
      </c>
      <c r="U6" s="9">
        <v>86.8</v>
      </c>
      <c r="V6" s="26">
        <f t="shared" si="6"/>
        <v>0.87</v>
      </c>
      <c r="W6" s="9">
        <v>92.73</v>
      </c>
      <c r="X6" s="9">
        <v>91.99</v>
      </c>
      <c r="Y6" s="26">
        <f t="shared" si="7"/>
        <v>0.74</v>
      </c>
      <c r="Z6" s="27">
        <f t="shared" si="8"/>
        <v>0.5608333333</v>
      </c>
      <c r="AA6" s="9"/>
    </row>
    <row r="7">
      <c r="A7" s="7">
        <v>6.0</v>
      </c>
      <c r="B7" s="10">
        <v>-0.9100000000000001</v>
      </c>
      <c r="C7" s="9">
        <v>-2.5799999999999983</v>
      </c>
      <c r="D7" s="10">
        <v>-6.940000000000012</v>
      </c>
      <c r="E7" s="9">
        <v>-2.25</v>
      </c>
      <c r="F7" s="25">
        <v>-4.420000000000002</v>
      </c>
      <c r="G7" s="8">
        <f t="shared" si="1"/>
        <v>-17.1</v>
      </c>
      <c r="H7" s="8">
        <f t="shared" si="2"/>
        <v>-1.71</v>
      </c>
      <c r="J7" s="8">
        <v>0.28000000000000114</v>
      </c>
      <c r="L7" s="9">
        <v>20.26</v>
      </c>
      <c r="M7" s="10">
        <v>19.35</v>
      </c>
      <c r="N7" s="26">
        <f t="shared" si="3"/>
        <v>0.91</v>
      </c>
      <c r="O7" s="10">
        <v>78.61</v>
      </c>
      <c r="P7" s="10">
        <v>76.03</v>
      </c>
      <c r="Q7" s="26">
        <f t="shared" si="4"/>
        <v>2.58</v>
      </c>
      <c r="R7" s="10">
        <v>80.29</v>
      </c>
      <c r="S7" s="9">
        <v>73.35</v>
      </c>
      <c r="T7" s="26">
        <f t="shared" si="5"/>
        <v>6.94</v>
      </c>
      <c r="U7" s="9">
        <v>71.1</v>
      </c>
      <c r="V7" s="26">
        <f t="shared" si="6"/>
        <v>2.25</v>
      </c>
      <c r="W7" s="9">
        <v>80.54</v>
      </c>
      <c r="X7" s="9">
        <v>76.12</v>
      </c>
      <c r="Y7" s="26">
        <f t="shared" si="7"/>
        <v>4.42</v>
      </c>
      <c r="Z7" s="27">
        <f t="shared" si="8"/>
        <v>1.425</v>
      </c>
      <c r="AA7" s="9"/>
    </row>
    <row r="8">
      <c r="A8" s="7">
        <v>7.0</v>
      </c>
      <c r="B8" s="10">
        <v>-0.8299999999999983</v>
      </c>
      <c r="C8" s="9">
        <v>-1.3900000000000006</v>
      </c>
      <c r="D8" s="10">
        <v>-2.680000000000007</v>
      </c>
      <c r="E8" s="9">
        <v>-1.5499999999999972</v>
      </c>
      <c r="F8" s="25">
        <v>-1.6899999999999977</v>
      </c>
      <c r="G8" s="8">
        <f t="shared" si="1"/>
        <v>-8.14</v>
      </c>
      <c r="H8" s="8">
        <f t="shared" si="2"/>
        <v>-0.814</v>
      </c>
      <c r="J8" s="8">
        <v>0.44000000000001194</v>
      </c>
      <c r="L8" s="9">
        <v>21.99</v>
      </c>
      <c r="M8" s="10">
        <v>21.16</v>
      </c>
      <c r="N8" s="26">
        <f t="shared" si="3"/>
        <v>0.83</v>
      </c>
      <c r="O8" s="10">
        <v>76.64</v>
      </c>
      <c r="P8" s="10">
        <v>75.25</v>
      </c>
      <c r="Q8" s="26">
        <f t="shared" si="4"/>
        <v>1.39</v>
      </c>
      <c r="R8" s="10">
        <v>75.25</v>
      </c>
      <c r="S8" s="9">
        <v>72.57</v>
      </c>
      <c r="T8" s="26">
        <f t="shared" si="5"/>
        <v>2.68</v>
      </c>
      <c r="U8" s="9">
        <v>71.02</v>
      </c>
      <c r="V8" s="26">
        <f t="shared" si="6"/>
        <v>1.55</v>
      </c>
      <c r="W8" s="9">
        <v>75.03</v>
      </c>
      <c r="X8" s="9">
        <v>73.34</v>
      </c>
      <c r="Y8" s="26">
        <f t="shared" si="7"/>
        <v>1.69</v>
      </c>
      <c r="Z8" s="27">
        <f t="shared" si="8"/>
        <v>0.6783333333</v>
      </c>
      <c r="AA8" s="9"/>
    </row>
    <row r="9">
      <c r="A9" s="7">
        <v>8.0</v>
      </c>
      <c r="B9" s="10">
        <v>-3.4899999999999984</v>
      </c>
      <c r="C9" s="9">
        <v>-3.519999999999996</v>
      </c>
      <c r="D9" s="10">
        <v>-4.260000000000005</v>
      </c>
      <c r="E9" s="9">
        <v>-2.75</v>
      </c>
      <c r="F9" s="25">
        <v>-2.799999999999997</v>
      </c>
      <c r="G9" s="8">
        <f t="shared" si="1"/>
        <v>-16.82</v>
      </c>
      <c r="H9" s="8">
        <f t="shared" si="2"/>
        <v>-1.682</v>
      </c>
      <c r="J9" s="8">
        <v>0.3100000000000023</v>
      </c>
      <c r="L9" s="9">
        <v>21.86</v>
      </c>
      <c r="M9" s="10">
        <v>18.37</v>
      </c>
      <c r="N9" s="26">
        <f t="shared" si="3"/>
        <v>3.49</v>
      </c>
      <c r="O9" s="10">
        <v>77.49</v>
      </c>
      <c r="P9" s="10">
        <v>73.97</v>
      </c>
      <c r="Q9" s="26">
        <f t="shared" si="4"/>
        <v>3.52</v>
      </c>
      <c r="R9" s="10">
        <v>81.68</v>
      </c>
      <c r="S9" s="9">
        <v>77.42</v>
      </c>
      <c r="T9" s="26">
        <f t="shared" si="5"/>
        <v>4.26</v>
      </c>
      <c r="U9" s="9">
        <v>74.67</v>
      </c>
      <c r="V9" s="26">
        <f t="shared" si="6"/>
        <v>2.75</v>
      </c>
      <c r="W9" s="9">
        <v>79.78</v>
      </c>
      <c r="X9" s="9">
        <v>76.98</v>
      </c>
      <c r="Y9" s="26">
        <f t="shared" si="7"/>
        <v>2.8</v>
      </c>
      <c r="Z9" s="27">
        <f t="shared" si="8"/>
        <v>1.401666667</v>
      </c>
      <c r="AA9" s="9"/>
    </row>
    <row r="10">
      <c r="A10" s="7">
        <v>9.0</v>
      </c>
      <c r="B10" s="10">
        <v>-1.3000000000000007</v>
      </c>
      <c r="C10" s="9">
        <v>-2.260000000000005</v>
      </c>
      <c r="D10" s="10">
        <v>-5.599999999999994</v>
      </c>
      <c r="E10" s="9">
        <v>-4.3600000000000065</v>
      </c>
      <c r="F10" s="25">
        <v>-6.819999999999993</v>
      </c>
      <c r="G10" s="8">
        <f t="shared" si="1"/>
        <v>-20.34</v>
      </c>
      <c r="H10" s="8">
        <f t="shared" si="2"/>
        <v>-2.034</v>
      </c>
      <c r="J10" s="8">
        <v>0.14999999999999147</v>
      </c>
      <c r="L10" s="9">
        <v>19.6</v>
      </c>
      <c r="M10" s="10">
        <v>18.3</v>
      </c>
      <c r="N10" s="26">
        <f t="shared" si="3"/>
        <v>1.3</v>
      </c>
      <c r="O10" s="10">
        <v>72.48</v>
      </c>
      <c r="P10" s="10">
        <v>70.22</v>
      </c>
      <c r="Q10" s="26">
        <f t="shared" si="4"/>
        <v>2.26</v>
      </c>
      <c r="R10" s="10">
        <v>70.22</v>
      </c>
      <c r="S10" s="9">
        <v>64.62</v>
      </c>
      <c r="T10" s="26">
        <f t="shared" si="5"/>
        <v>5.6</v>
      </c>
      <c r="U10" s="9">
        <v>60.26</v>
      </c>
      <c r="V10" s="26">
        <f t="shared" si="6"/>
        <v>4.36</v>
      </c>
      <c r="W10" s="9">
        <v>76.82</v>
      </c>
      <c r="X10" s="9">
        <v>70.0</v>
      </c>
      <c r="Y10" s="26">
        <f t="shared" si="7"/>
        <v>6.82</v>
      </c>
      <c r="Z10" s="27">
        <f t="shared" si="8"/>
        <v>1.695</v>
      </c>
      <c r="AA10" s="9"/>
    </row>
    <row r="11">
      <c r="A11" s="7">
        <v>10.0</v>
      </c>
      <c r="B11" s="10">
        <v>-1.3399999999999999</v>
      </c>
      <c r="C11" s="9">
        <v>-1.4099999999999966</v>
      </c>
      <c r="D11" s="10">
        <v>-2.969999999999999</v>
      </c>
      <c r="E11" s="9">
        <v>-2.0700000000000074</v>
      </c>
      <c r="F11" s="25">
        <v>-3.0799999999999983</v>
      </c>
      <c r="G11" s="8">
        <f t="shared" si="1"/>
        <v>-10.87</v>
      </c>
      <c r="H11" s="8">
        <f t="shared" si="2"/>
        <v>-1.087</v>
      </c>
      <c r="J11" s="8">
        <v>0.12999999999999545</v>
      </c>
      <c r="L11" s="9">
        <v>19.31</v>
      </c>
      <c r="M11" s="10">
        <v>17.97</v>
      </c>
      <c r="N11" s="26">
        <f t="shared" si="3"/>
        <v>1.34</v>
      </c>
      <c r="O11" s="10">
        <v>77.42</v>
      </c>
      <c r="P11" s="10">
        <v>76.01</v>
      </c>
      <c r="Q11" s="26">
        <f t="shared" si="4"/>
        <v>1.41</v>
      </c>
      <c r="R11" s="10">
        <v>80.51</v>
      </c>
      <c r="S11" s="9">
        <v>77.54</v>
      </c>
      <c r="T11" s="26">
        <f t="shared" si="5"/>
        <v>2.97</v>
      </c>
      <c r="U11" s="9">
        <v>75.47</v>
      </c>
      <c r="V11" s="26">
        <f t="shared" si="6"/>
        <v>2.07</v>
      </c>
      <c r="W11" s="9">
        <v>80.48</v>
      </c>
      <c r="X11" s="9">
        <v>77.4</v>
      </c>
      <c r="Y11" s="26">
        <f t="shared" si="7"/>
        <v>3.08</v>
      </c>
      <c r="Z11" s="27">
        <f t="shared" si="8"/>
        <v>0.9058333333</v>
      </c>
      <c r="AA11" s="9"/>
    </row>
    <row r="12">
      <c r="A12" s="7">
        <v>11.0</v>
      </c>
      <c r="B12" s="10">
        <v>-0.9499999999999993</v>
      </c>
      <c r="C12" s="9">
        <v>-3.25</v>
      </c>
      <c r="D12" s="10">
        <v>-1.8499999999999943</v>
      </c>
      <c r="E12" s="9">
        <v>-3.78</v>
      </c>
      <c r="F12" s="25">
        <v>-2.030000000000001</v>
      </c>
      <c r="G12" s="8">
        <f t="shared" si="1"/>
        <v>-11.86</v>
      </c>
      <c r="H12" s="8">
        <f t="shared" si="2"/>
        <v>-1.186</v>
      </c>
      <c r="J12" s="8">
        <v>0.9100000000000108</v>
      </c>
      <c r="L12" s="9">
        <v>19.97</v>
      </c>
      <c r="M12" s="10">
        <v>19.02</v>
      </c>
      <c r="N12" s="26">
        <f t="shared" si="3"/>
        <v>0.95</v>
      </c>
      <c r="O12" s="10">
        <v>78.02</v>
      </c>
      <c r="P12" s="10">
        <v>74.77</v>
      </c>
      <c r="Q12" s="26">
        <f t="shared" si="4"/>
        <v>3.25</v>
      </c>
      <c r="R12" s="10">
        <v>78.99</v>
      </c>
      <c r="S12" s="9">
        <v>77.14</v>
      </c>
      <c r="T12" s="26">
        <f t="shared" si="5"/>
        <v>1.85</v>
      </c>
      <c r="U12" s="9">
        <v>73.42</v>
      </c>
      <c r="V12" s="26">
        <f t="shared" si="6"/>
        <v>3.72</v>
      </c>
      <c r="W12" s="9">
        <v>78.02</v>
      </c>
      <c r="X12" s="9">
        <v>75.99</v>
      </c>
      <c r="Y12" s="26">
        <f t="shared" si="7"/>
        <v>2.03</v>
      </c>
      <c r="Z12" s="27">
        <f t="shared" si="8"/>
        <v>0.9833333333</v>
      </c>
      <c r="AA12" s="9"/>
    </row>
    <row r="13">
      <c r="A13" s="7">
        <v>12.0</v>
      </c>
      <c r="B13" s="10">
        <v>-1.129999999999999</v>
      </c>
      <c r="C13" s="9">
        <v>-2.75</v>
      </c>
      <c r="D13" s="10">
        <v>-6.009999999999991</v>
      </c>
      <c r="E13" s="9">
        <v>0.7599999999999909</v>
      </c>
      <c r="F13" s="25">
        <v>-3.4199999999999875</v>
      </c>
      <c r="G13" s="8">
        <f t="shared" si="1"/>
        <v>-12.55</v>
      </c>
      <c r="H13" s="8">
        <f t="shared" si="2"/>
        <v>-1.255</v>
      </c>
      <c r="J13" s="8">
        <v>0.22999999999998977</v>
      </c>
      <c r="L13" s="9">
        <v>18.75</v>
      </c>
      <c r="M13" s="10">
        <v>17.62</v>
      </c>
      <c r="N13" s="26">
        <f t="shared" si="3"/>
        <v>1.13</v>
      </c>
      <c r="O13" s="10">
        <v>72.32</v>
      </c>
      <c r="P13" s="10">
        <v>69.57</v>
      </c>
      <c r="Q13" s="26">
        <f t="shared" si="4"/>
        <v>2.75</v>
      </c>
      <c r="R13" s="10">
        <v>78.02</v>
      </c>
      <c r="S13" s="9">
        <v>72.01</v>
      </c>
      <c r="T13" s="26">
        <f t="shared" si="5"/>
        <v>6.01</v>
      </c>
      <c r="U13" s="9">
        <v>71.97</v>
      </c>
      <c r="V13" s="26">
        <f t="shared" si="6"/>
        <v>0.04</v>
      </c>
      <c r="W13" s="9">
        <v>73.71</v>
      </c>
      <c r="X13" s="9">
        <v>70.29</v>
      </c>
      <c r="Y13" s="26">
        <f t="shared" si="7"/>
        <v>3.42</v>
      </c>
      <c r="Z13" s="27">
        <f t="shared" si="8"/>
        <v>1.1125</v>
      </c>
      <c r="AA13" s="9"/>
    </row>
    <row r="14">
      <c r="A14" s="7">
        <v>13.0</v>
      </c>
      <c r="B14" s="10">
        <v>-3.5600000000000005</v>
      </c>
      <c r="C14" s="9">
        <v>-1.6899999999999977</v>
      </c>
      <c r="D14" s="10">
        <v>-1.470000000000013</v>
      </c>
      <c r="E14" s="9">
        <v>-1.9499999999999886</v>
      </c>
      <c r="F14" s="25">
        <v>-3.1899999999999977</v>
      </c>
      <c r="G14" s="8">
        <f t="shared" si="1"/>
        <v>-11.86</v>
      </c>
      <c r="H14" s="8">
        <f t="shared" si="2"/>
        <v>-1.186</v>
      </c>
      <c r="J14" s="8">
        <v>0.6299999999999955</v>
      </c>
      <c r="L14" s="9">
        <v>18.53</v>
      </c>
      <c r="M14" s="10">
        <v>14.97</v>
      </c>
      <c r="N14" s="26">
        <f t="shared" si="3"/>
        <v>3.56</v>
      </c>
      <c r="O14" s="10">
        <v>74.24</v>
      </c>
      <c r="P14" s="10">
        <v>72.55</v>
      </c>
      <c r="Q14" s="26">
        <f t="shared" si="4"/>
        <v>1.69</v>
      </c>
      <c r="R14" s="10">
        <v>76.29</v>
      </c>
      <c r="S14" s="9">
        <v>74.82</v>
      </c>
      <c r="T14" s="26">
        <f t="shared" si="5"/>
        <v>1.47</v>
      </c>
      <c r="U14" s="9">
        <v>72.87</v>
      </c>
      <c r="V14" s="26">
        <f t="shared" si="6"/>
        <v>1.95</v>
      </c>
      <c r="W14" s="9">
        <v>78.58</v>
      </c>
      <c r="X14" s="9">
        <v>75.39</v>
      </c>
      <c r="Y14" s="26">
        <f t="shared" si="7"/>
        <v>3.19</v>
      </c>
      <c r="Z14" s="27">
        <f t="shared" si="8"/>
        <v>0.9883333333</v>
      </c>
      <c r="AA14" s="9"/>
    </row>
    <row r="15">
      <c r="A15" s="7">
        <v>14.0</v>
      </c>
      <c r="B15" s="10">
        <v>-1.9800000000000004</v>
      </c>
      <c r="C15" s="9">
        <v>-1.1799999999999926</v>
      </c>
      <c r="D15" s="10">
        <v>-4.02000000000001</v>
      </c>
      <c r="E15" s="9">
        <v>-2.030000000000001</v>
      </c>
      <c r="F15" s="25">
        <v>-2.6299999999999955</v>
      </c>
      <c r="G15" s="8">
        <f t="shared" si="1"/>
        <v>-11.84</v>
      </c>
      <c r="H15" s="8">
        <f t="shared" si="2"/>
        <v>-1.184</v>
      </c>
      <c r="J15" s="8">
        <v>0.5699999999999932</v>
      </c>
      <c r="L15" s="9">
        <v>18.16</v>
      </c>
      <c r="M15" s="10">
        <v>16.18</v>
      </c>
      <c r="N15" s="26">
        <f t="shared" si="3"/>
        <v>1.98</v>
      </c>
      <c r="O15" s="10">
        <v>74.97</v>
      </c>
      <c r="P15" s="10">
        <v>73.79</v>
      </c>
      <c r="Q15" s="26">
        <f t="shared" si="4"/>
        <v>1.18</v>
      </c>
      <c r="R15" s="10">
        <v>81.18</v>
      </c>
      <c r="S15" s="9">
        <v>77.16</v>
      </c>
      <c r="T15" s="26">
        <f t="shared" si="5"/>
        <v>4.02</v>
      </c>
      <c r="U15" s="9">
        <v>75.13</v>
      </c>
      <c r="V15" s="26">
        <f t="shared" si="6"/>
        <v>2.03</v>
      </c>
      <c r="W15" s="9">
        <v>77.56</v>
      </c>
      <c r="X15" s="9">
        <v>74.93</v>
      </c>
      <c r="Y15" s="26">
        <f t="shared" si="7"/>
        <v>2.63</v>
      </c>
      <c r="Z15" s="27">
        <f t="shared" si="8"/>
        <v>0.9866666667</v>
      </c>
      <c r="AA15" s="9"/>
    </row>
    <row r="16">
      <c r="A16" s="7">
        <v>15.0</v>
      </c>
      <c r="B16" s="10">
        <v>-2.3699999999999974</v>
      </c>
      <c r="C16" s="9">
        <v>-2.8900000000000006</v>
      </c>
      <c r="D16" s="10">
        <v>-2.210000000000008</v>
      </c>
      <c r="E16" s="9">
        <v>-2.019999999999996</v>
      </c>
      <c r="F16" s="25">
        <v>-4.819999999999993</v>
      </c>
      <c r="G16" s="8">
        <f t="shared" si="1"/>
        <v>-14.31</v>
      </c>
      <c r="H16" s="8">
        <f t="shared" si="2"/>
        <v>-1.431</v>
      </c>
      <c r="J16" s="8">
        <v>0.4899999999999949</v>
      </c>
      <c r="L16" s="9">
        <v>19.99</v>
      </c>
      <c r="M16" s="10">
        <v>17.62</v>
      </c>
      <c r="N16" s="26">
        <f t="shared" si="3"/>
        <v>2.37</v>
      </c>
      <c r="O16" s="10">
        <v>77.68</v>
      </c>
      <c r="P16" s="10">
        <v>74.79</v>
      </c>
      <c r="Q16" s="26">
        <f t="shared" si="4"/>
        <v>2.89</v>
      </c>
      <c r="R16" s="10">
        <v>77.87</v>
      </c>
      <c r="S16" s="9">
        <v>75.66</v>
      </c>
      <c r="T16" s="26">
        <f t="shared" si="5"/>
        <v>2.21</v>
      </c>
      <c r="U16" s="9">
        <v>73.64</v>
      </c>
      <c r="V16" s="26">
        <f t="shared" si="6"/>
        <v>2.02</v>
      </c>
      <c r="W16" s="9">
        <v>80.99</v>
      </c>
      <c r="X16" s="9">
        <v>76.17</v>
      </c>
      <c r="Y16" s="26">
        <f t="shared" si="7"/>
        <v>4.82</v>
      </c>
      <c r="Z16" s="27">
        <f t="shared" si="8"/>
        <v>1.1925</v>
      </c>
      <c r="AA16" s="9"/>
    </row>
    <row r="17">
      <c r="A17" s="7">
        <v>16.0</v>
      </c>
      <c r="B17" s="10">
        <v>-0.5400000000000027</v>
      </c>
      <c r="C17" s="9">
        <v>-1.3199999999999932</v>
      </c>
      <c r="D17" s="10">
        <v>-3.469999999999999</v>
      </c>
      <c r="E17" s="9">
        <v>-1.4200000000000017</v>
      </c>
      <c r="F17" s="25">
        <v>-4.689999999999998</v>
      </c>
      <c r="G17" s="8">
        <f t="shared" si="1"/>
        <v>-11.44</v>
      </c>
      <c r="H17" s="8">
        <f t="shared" si="2"/>
        <v>-1.144</v>
      </c>
      <c r="J17" s="8">
        <v>0.6700000000000017</v>
      </c>
      <c r="L17" s="9">
        <v>18.85</v>
      </c>
      <c r="M17" s="10">
        <v>18.31</v>
      </c>
      <c r="N17" s="26">
        <f t="shared" si="3"/>
        <v>0.54</v>
      </c>
      <c r="O17" s="10">
        <v>73.77</v>
      </c>
      <c r="P17" s="10">
        <v>72.45</v>
      </c>
      <c r="Q17" s="26">
        <f t="shared" si="4"/>
        <v>1.32</v>
      </c>
      <c r="R17" s="10">
        <v>80.31</v>
      </c>
      <c r="S17" s="9">
        <v>76.84</v>
      </c>
      <c r="T17" s="26">
        <f t="shared" si="5"/>
        <v>3.47</v>
      </c>
      <c r="U17" s="9">
        <v>75.42</v>
      </c>
      <c r="V17" s="26">
        <f t="shared" si="6"/>
        <v>1.42</v>
      </c>
      <c r="W17" s="9">
        <v>78.27</v>
      </c>
      <c r="X17" s="9">
        <v>73.58</v>
      </c>
      <c r="Y17" s="26">
        <f t="shared" si="7"/>
        <v>4.69</v>
      </c>
      <c r="Z17" s="27">
        <f t="shared" si="8"/>
        <v>0.9533333333</v>
      </c>
      <c r="AA17" s="9"/>
    </row>
    <row r="18">
      <c r="A18" s="7">
        <v>17.0</v>
      </c>
      <c r="B18" s="10">
        <v>-0.8699999999999974</v>
      </c>
      <c r="C18" s="9">
        <v>-2.989999999999995</v>
      </c>
      <c r="D18" s="10">
        <v>-1.289999999999992</v>
      </c>
      <c r="E18" s="9">
        <v>-0.15000000000000568</v>
      </c>
      <c r="F18" s="25">
        <v>-2.1700000000000017</v>
      </c>
      <c r="G18" s="8">
        <f t="shared" si="1"/>
        <v>-7.47</v>
      </c>
      <c r="H18" s="8">
        <f t="shared" si="2"/>
        <v>-0.747</v>
      </c>
      <c r="J18" s="8">
        <v>0.6300000000000097</v>
      </c>
      <c r="L18" s="9">
        <v>21.13</v>
      </c>
      <c r="M18" s="10">
        <v>20.26</v>
      </c>
      <c r="N18" s="26">
        <f t="shared" si="3"/>
        <v>0.87</v>
      </c>
      <c r="O18" s="10">
        <v>75.46</v>
      </c>
      <c r="P18" s="10">
        <v>72.47</v>
      </c>
      <c r="Q18" s="26">
        <f t="shared" si="4"/>
        <v>2.99</v>
      </c>
      <c r="R18" s="10">
        <v>72.47</v>
      </c>
      <c r="S18" s="9">
        <v>71.18</v>
      </c>
      <c r="T18" s="26">
        <f t="shared" si="5"/>
        <v>1.29</v>
      </c>
      <c r="U18" s="9">
        <v>71.03</v>
      </c>
      <c r="V18" s="26">
        <f t="shared" si="6"/>
        <v>0.15</v>
      </c>
      <c r="W18" s="9">
        <v>76.27</v>
      </c>
      <c r="X18" s="9">
        <v>74.1</v>
      </c>
      <c r="Y18" s="26">
        <f t="shared" si="7"/>
        <v>2.17</v>
      </c>
      <c r="Z18" s="27">
        <f t="shared" si="8"/>
        <v>0.6225</v>
      </c>
      <c r="AA18" s="9"/>
    </row>
    <row r="19">
      <c r="A19" s="7">
        <v>18.0</v>
      </c>
      <c r="B19" s="10">
        <v>-1.3099999999999987</v>
      </c>
      <c r="C19" s="9">
        <v>-0.6499999999999915</v>
      </c>
      <c r="D19" s="10">
        <v>-5.799999999999997</v>
      </c>
      <c r="E19" s="9">
        <v>-4.8500000000000085</v>
      </c>
      <c r="F19" s="25">
        <v>-2.8800000000000097</v>
      </c>
      <c r="G19" s="8">
        <f t="shared" si="1"/>
        <v>-15.49</v>
      </c>
      <c r="H19" s="8">
        <f t="shared" si="2"/>
        <v>-1.549</v>
      </c>
      <c r="J19" s="8">
        <v>0.35999999999999943</v>
      </c>
      <c r="L19" s="9">
        <v>20.32</v>
      </c>
      <c r="M19" s="10">
        <v>19.01</v>
      </c>
      <c r="N19" s="26">
        <f t="shared" si="3"/>
        <v>1.31</v>
      </c>
      <c r="O19" s="10">
        <v>73.16</v>
      </c>
      <c r="P19" s="10">
        <v>72.51</v>
      </c>
      <c r="Q19" s="26">
        <f t="shared" si="4"/>
        <v>0.65</v>
      </c>
      <c r="R19" s="10">
        <v>75.81</v>
      </c>
      <c r="S19" s="9">
        <v>70.01</v>
      </c>
      <c r="T19" s="26">
        <f t="shared" si="5"/>
        <v>5.8</v>
      </c>
      <c r="U19" s="9">
        <v>65.16</v>
      </c>
      <c r="V19" s="26">
        <f t="shared" si="6"/>
        <v>4.85</v>
      </c>
      <c r="W19" s="9">
        <v>73.54</v>
      </c>
      <c r="X19" s="9">
        <v>70.66</v>
      </c>
      <c r="Y19" s="26">
        <f t="shared" si="7"/>
        <v>2.88</v>
      </c>
      <c r="Z19" s="27">
        <f t="shared" si="8"/>
        <v>1.290833333</v>
      </c>
      <c r="AA19" s="9"/>
    </row>
    <row r="20">
      <c r="A20" s="7">
        <v>19.0</v>
      </c>
      <c r="B20" s="10">
        <v>-1.0600000000000023</v>
      </c>
      <c r="C20" s="9">
        <v>-1.9799999999999898</v>
      </c>
      <c r="D20" s="10">
        <v>-3.4099999999999966</v>
      </c>
      <c r="E20" s="9">
        <v>-3.180000000000007</v>
      </c>
      <c r="F20" s="25">
        <v>-3.549999999999997</v>
      </c>
      <c r="G20" s="8">
        <f t="shared" si="1"/>
        <v>-13.18</v>
      </c>
      <c r="H20" s="8">
        <f t="shared" si="2"/>
        <v>-1.318</v>
      </c>
      <c r="J20" s="8">
        <v>0.25</v>
      </c>
      <c r="L20" s="9">
        <v>19.37</v>
      </c>
      <c r="M20" s="10">
        <v>18.31</v>
      </c>
      <c r="N20" s="26">
        <f t="shared" si="3"/>
        <v>1.06</v>
      </c>
      <c r="O20" s="10">
        <v>77.32</v>
      </c>
      <c r="P20" s="10">
        <v>75.34</v>
      </c>
      <c r="Q20" s="26">
        <f t="shared" si="4"/>
        <v>1.98</v>
      </c>
      <c r="R20" s="10">
        <v>78.42</v>
      </c>
      <c r="S20" s="9">
        <v>75.01</v>
      </c>
      <c r="T20" s="26">
        <f t="shared" si="5"/>
        <v>3.41</v>
      </c>
      <c r="U20" s="9">
        <v>71.83</v>
      </c>
      <c r="V20" s="26">
        <f t="shared" si="6"/>
        <v>3.18</v>
      </c>
      <c r="W20" s="9">
        <v>79.97</v>
      </c>
      <c r="X20" s="9">
        <v>76.42</v>
      </c>
      <c r="Y20" s="26">
        <f t="shared" si="7"/>
        <v>3.55</v>
      </c>
      <c r="Z20" s="27">
        <f t="shared" si="8"/>
        <v>1.098333333</v>
      </c>
      <c r="AA20" s="9"/>
    </row>
    <row r="21">
      <c r="A21" s="7">
        <v>20.0</v>
      </c>
      <c r="B21" s="10">
        <v>-0.25</v>
      </c>
      <c r="C21" s="9">
        <v>-0.1799999999999926</v>
      </c>
      <c r="D21" s="10">
        <v>-2.2099999999999937</v>
      </c>
      <c r="E21" s="9">
        <v>-2.5799999999999983</v>
      </c>
      <c r="F21" s="25">
        <v>-3.0600000000000023</v>
      </c>
      <c r="G21" s="8">
        <f t="shared" si="1"/>
        <v>-8.28</v>
      </c>
      <c r="H21" s="8">
        <f t="shared" si="2"/>
        <v>-0.828</v>
      </c>
      <c r="J21" s="8">
        <v>0.710000000000008</v>
      </c>
      <c r="L21" s="9">
        <v>18.28</v>
      </c>
      <c r="M21" s="10">
        <v>18.03</v>
      </c>
      <c r="N21" s="26">
        <f t="shared" si="3"/>
        <v>0.25</v>
      </c>
      <c r="O21" s="10">
        <v>72.97</v>
      </c>
      <c r="P21" s="10">
        <v>72.79</v>
      </c>
      <c r="Q21" s="26">
        <f t="shared" si="4"/>
        <v>0.18</v>
      </c>
      <c r="R21" s="10">
        <v>80.96</v>
      </c>
      <c r="S21" s="9">
        <v>78.75</v>
      </c>
      <c r="T21" s="26">
        <f t="shared" si="5"/>
        <v>2.21</v>
      </c>
      <c r="U21" s="9">
        <v>76.17</v>
      </c>
      <c r="V21" s="26">
        <f t="shared" si="6"/>
        <v>2.58</v>
      </c>
      <c r="W21" s="9">
        <v>74.16</v>
      </c>
      <c r="X21" s="9">
        <v>71.1</v>
      </c>
      <c r="Y21" s="26">
        <f t="shared" si="7"/>
        <v>3.06</v>
      </c>
      <c r="Z21" s="27">
        <f t="shared" si="8"/>
        <v>0.69</v>
      </c>
      <c r="AA21" s="9"/>
    </row>
    <row r="22">
      <c r="N22" s="28"/>
      <c r="Q22" s="28"/>
      <c r="T22" s="28"/>
      <c r="V22" s="28"/>
      <c r="Y22" s="28"/>
    </row>
    <row r="23">
      <c r="N23" s="28"/>
      <c r="Q23" s="28"/>
      <c r="T23" s="28"/>
      <c r="V23" s="28"/>
      <c r="Y23" s="28"/>
    </row>
    <row r="24">
      <c r="N24" s="28"/>
      <c r="Q24" s="28"/>
      <c r="T24" s="28"/>
      <c r="V24" s="28"/>
      <c r="Y24" s="28"/>
    </row>
    <row r="25">
      <c r="N25" s="28"/>
      <c r="Q25" s="28"/>
      <c r="T25" s="28"/>
      <c r="V25" s="28"/>
      <c r="Y25" s="28"/>
    </row>
    <row r="26">
      <c r="N26" s="28"/>
      <c r="Q26" s="28"/>
      <c r="T26" s="28"/>
      <c r="V26" s="28"/>
      <c r="Y26" s="28"/>
    </row>
    <row r="27">
      <c r="N27" s="28"/>
      <c r="Q27" s="28"/>
      <c r="T27" s="28"/>
      <c r="V27" s="28"/>
      <c r="Y27" s="28"/>
    </row>
    <row r="28">
      <c r="N28" s="28"/>
      <c r="Q28" s="28"/>
      <c r="T28" s="28"/>
      <c r="V28" s="28"/>
      <c r="Y28" s="28"/>
    </row>
    <row r="29">
      <c r="N29" s="28"/>
      <c r="Q29" s="28"/>
      <c r="T29" s="28"/>
      <c r="V29" s="28"/>
      <c r="Y29" s="28"/>
    </row>
    <row r="30">
      <c r="N30" s="28"/>
      <c r="Q30" s="28"/>
      <c r="T30" s="28"/>
      <c r="V30" s="28"/>
      <c r="Y30" s="28"/>
    </row>
    <row r="31">
      <c r="N31" s="28"/>
      <c r="Q31" s="28"/>
      <c r="T31" s="28"/>
      <c r="V31" s="28"/>
      <c r="Y31" s="28"/>
    </row>
    <row r="32">
      <c r="N32" s="28"/>
      <c r="Q32" s="28"/>
      <c r="T32" s="28"/>
      <c r="V32" s="28"/>
      <c r="Y32" s="28"/>
    </row>
    <row r="33">
      <c r="N33" s="28"/>
      <c r="Q33" s="28"/>
      <c r="T33" s="28"/>
      <c r="V33" s="28"/>
      <c r="Y33" s="28"/>
    </row>
    <row r="34">
      <c r="N34" s="28"/>
      <c r="Q34" s="28"/>
      <c r="T34" s="28"/>
      <c r="V34" s="28"/>
      <c r="Y34" s="28"/>
    </row>
    <row r="35">
      <c r="N35" s="28"/>
      <c r="Q35" s="28"/>
      <c r="T35" s="28"/>
      <c r="V35" s="28"/>
      <c r="Y35" s="28"/>
    </row>
    <row r="36">
      <c r="N36" s="28"/>
      <c r="Q36" s="28"/>
      <c r="T36" s="28"/>
      <c r="V36" s="28"/>
      <c r="Y36" s="28"/>
    </row>
    <row r="37">
      <c r="N37" s="28"/>
      <c r="Q37" s="28"/>
      <c r="T37" s="28"/>
      <c r="V37" s="28"/>
      <c r="Y37" s="28"/>
    </row>
    <row r="38">
      <c r="N38" s="28"/>
      <c r="Q38" s="28"/>
      <c r="T38" s="28"/>
      <c r="V38" s="28"/>
      <c r="Y38" s="28"/>
    </row>
    <row r="39">
      <c r="N39" s="28"/>
      <c r="Q39" s="28"/>
      <c r="T39" s="28"/>
      <c r="V39" s="28"/>
      <c r="Y39" s="28"/>
    </row>
    <row r="40">
      <c r="N40" s="28"/>
      <c r="Q40" s="28"/>
      <c r="T40" s="28"/>
      <c r="V40" s="28"/>
      <c r="Y40" s="28"/>
    </row>
    <row r="41">
      <c r="N41" s="28"/>
      <c r="Q41" s="28"/>
      <c r="T41" s="28"/>
      <c r="V41" s="28"/>
      <c r="Y41" s="28"/>
    </row>
    <row r="42">
      <c r="N42" s="28"/>
      <c r="Q42" s="28"/>
      <c r="T42" s="28"/>
      <c r="V42" s="28"/>
      <c r="Y42" s="28"/>
    </row>
    <row r="43">
      <c r="N43" s="28"/>
      <c r="Q43" s="28"/>
      <c r="T43" s="28"/>
      <c r="V43" s="28"/>
      <c r="Y43" s="28"/>
    </row>
    <row r="44">
      <c r="N44" s="28"/>
      <c r="Q44" s="28"/>
      <c r="T44" s="28"/>
      <c r="V44" s="28"/>
      <c r="Y44" s="28"/>
    </row>
    <row r="45">
      <c r="N45" s="28"/>
      <c r="Q45" s="28"/>
      <c r="T45" s="28"/>
      <c r="V45" s="28"/>
      <c r="Y45" s="28"/>
    </row>
    <row r="46">
      <c r="N46" s="28"/>
      <c r="Q46" s="28"/>
      <c r="T46" s="28"/>
      <c r="V46" s="28"/>
      <c r="Y46" s="28"/>
    </row>
    <row r="47">
      <c r="N47" s="28"/>
      <c r="Q47" s="28"/>
      <c r="T47" s="28"/>
      <c r="V47" s="28"/>
      <c r="Y47" s="28"/>
    </row>
    <row r="48">
      <c r="N48" s="28"/>
      <c r="Q48" s="28"/>
      <c r="T48" s="28"/>
      <c r="V48" s="28"/>
      <c r="Y48" s="28"/>
    </row>
    <row r="49">
      <c r="N49" s="28"/>
      <c r="Q49" s="28"/>
      <c r="T49" s="28"/>
      <c r="V49" s="28"/>
      <c r="Y49" s="28"/>
    </row>
    <row r="50">
      <c r="N50" s="28"/>
      <c r="Q50" s="28"/>
      <c r="T50" s="28"/>
      <c r="V50" s="28"/>
      <c r="Y50" s="28"/>
    </row>
    <row r="51">
      <c r="N51" s="28"/>
      <c r="Q51" s="28"/>
      <c r="T51" s="28"/>
      <c r="V51" s="28"/>
      <c r="Y51" s="28"/>
    </row>
    <row r="52">
      <c r="N52" s="28"/>
      <c r="Q52" s="28"/>
      <c r="T52" s="28"/>
      <c r="V52" s="28"/>
      <c r="Y52" s="28"/>
    </row>
    <row r="53">
      <c r="N53" s="28"/>
      <c r="Q53" s="28"/>
      <c r="T53" s="28"/>
      <c r="V53" s="28"/>
      <c r="Y53" s="28"/>
    </row>
    <row r="54">
      <c r="N54" s="28"/>
      <c r="Q54" s="28"/>
      <c r="T54" s="28"/>
      <c r="V54" s="28"/>
      <c r="Y54" s="28"/>
    </row>
    <row r="55">
      <c r="N55" s="28"/>
      <c r="Q55" s="28"/>
      <c r="T55" s="28"/>
      <c r="V55" s="28"/>
      <c r="Y55" s="28"/>
    </row>
    <row r="56">
      <c r="N56" s="28"/>
      <c r="Q56" s="28"/>
      <c r="T56" s="28"/>
      <c r="V56" s="28"/>
      <c r="Y56" s="28"/>
    </row>
    <row r="57">
      <c r="N57" s="28"/>
      <c r="Q57" s="28"/>
      <c r="T57" s="28"/>
      <c r="V57" s="28"/>
      <c r="Y57" s="28"/>
    </row>
    <row r="58">
      <c r="N58" s="28"/>
      <c r="Q58" s="28"/>
      <c r="T58" s="28"/>
      <c r="V58" s="28"/>
      <c r="Y58" s="28"/>
    </row>
    <row r="59">
      <c r="N59" s="28"/>
      <c r="Q59" s="28"/>
      <c r="T59" s="28"/>
      <c r="V59" s="28"/>
      <c r="Y59" s="28"/>
    </row>
    <row r="60">
      <c r="N60" s="28"/>
      <c r="Q60" s="28"/>
      <c r="T60" s="28"/>
      <c r="V60" s="28"/>
      <c r="Y60" s="28"/>
    </row>
    <row r="61">
      <c r="N61" s="28"/>
      <c r="Q61" s="28"/>
      <c r="T61" s="28"/>
      <c r="V61" s="28"/>
      <c r="Y61" s="28"/>
    </row>
    <row r="62">
      <c r="N62" s="28"/>
      <c r="Q62" s="28"/>
      <c r="T62" s="28"/>
      <c r="V62" s="28"/>
      <c r="Y62" s="28"/>
    </row>
    <row r="63">
      <c r="N63" s="28"/>
      <c r="Q63" s="28"/>
      <c r="T63" s="28"/>
      <c r="V63" s="28"/>
      <c r="Y63" s="28"/>
    </row>
    <row r="64">
      <c r="N64" s="28"/>
      <c r="Q64" s="28"/>
      <c r="T64" s="28"/>
      <c r="V64" s="28"/>
      <c r="Y64" s="28"/>
    </row>
    <row r="65">
      <c r="N65" s="28"/>
      <c r="Q65" s="28"/>
      <c r="T65" s="28"/>
      <c r="V65" s="28"/>
      <c r="Y65" s="28"/>
    </row>
    <row r="66">
      <c r="N66" s="28"/>
      <c r="Q66" s="28"/>
      <c r="T66" s="28"/>
      <c r="V66" s="28"/>
      <c r="Y66" s="28"/>
    </row>
    <row r="67">
      <c r="N67" s="28"/>
      <c r="Q67" s="28"/>
      <c r="T67" s="28"/>
      <c r="V67" s="28"/>
      <c r="Y67" s="28"/>
    </row>
    <row r="68">
      <c r="N68" s="28"/>
      <c r="Q68" s="28"/>
      <c r="T68" s="28"/>
      <c r="V68" s="28"/>
      <c r="Y68" s="28"/>
    </row>
    <row r="69">
      <c r="N69" s="28"/>
      <c r="Q69" s="28"/>
      <c r="T69" s="28"/>
      <c r="V69" s="28"/>
      <c r="Y69" s="28"/>
    </row>
    <row r="70">
      <c r="N70" s="28"/>
      <c r="Q70" s="28"/>
      <c r="T70" s="28"/>
      <c r="V70" s="28"/>
      <c r="Y70" s="28"/>
    </row>
    <row r="71">
      <c r="N71" s="28"/>
      <c r="Q71" s="28"/>
      <c r="T71" s="28"/>
      <c r="V71" s="28"/>
      <c r="Y71" s="28"/>
    </row>
    <row r="72">
      <c r="N72" s="28"/>
      <c r="Q72" s="28"/>
      <c r="T72" s="28"/>
      <c r="V72" s="28"/>
      <c r="Y72" s="28"/>
    </row>
    <row r="73">
      <c r="N73" s="28"/>
      <c r="Q73" s="28"/>
      <c r="T73" s="28"/>
      <c r="V73" s="28"/>
      <c r="Y73" s="28"/>
    </row>
    <row r="74">
      <c r="N74" s="28"/>
      <c r="Q74" s="28"/>
      <c r="T74" s="28"/>
      <c r="V74" s="28"/>
      <c r="Y74" s="28"/>
    </row>
    <row r="75">
      <c r="N75" s="28"/>
      <c r="Q75" s="28"/>
      <c r="T75" s="28"/>
      <c r="V75" s="28"/>
      <c r="Y75" s="28"/>
    </row>
    <row r="76">
      <c r="N76" s="28"/>
      <c r="Q76" s="28"/>
      <c r="T76" s="28"/>
      <c r="V76" s="28"/>
      <c r="Y76" s="28"/>
    </row>
    <row r="77">
      <c r="N77" s="28"/>
      <c r="Q77" s="28"/>
      <c r="T77" s="28"/>
      <c r="V77" s="28"/>
      <c r="Y77" s="28"/>
    </row>
    <row r="78">
      <c r="N78" s="28"/>
      <c r="Q78" s="28"/>
      <c r="T78" s="28"/>
      <c r="V78" s="28"/>
      <c r="Y78" s="28"/>
    </row>
    <row r="79">
      <c r="N79" s="28"/>
      <c r="Q79" s="28"/>
      <c r="T79" s="28"/>
      <c r="V79" s="28"/>
      <c r="Y79" s="28"/>
    </row>
    <row r="80">
      <c r="N80" s="28"/>
      <c r="Q80" s="28"/>
      <c r="T80" s="28"/>
      <c r="V80" s="28"/>
      <c r="Y80" s="28"/>
    </row>
    <row r="81">
      <c r="N81" s="28"/>
      <c r="Q81" s="28"/>
      <c r="T81" s="28"/>
      <c r="V81" s="28"/>
      <c r="Y81" s="28"/>
    </row>
    <row r="82">
      <c r="N82" s="28"/>
      <c r="Q82" s="28"/>
      <c r="T82" s="28"/>
      <c r="V82" s="28"/>
      <c r="Y82" s="28"/>
    </row>
    <row r="83">
      <c r="N83" s="28"/>
      <c r="Q83" s="28"/>
      <c r="T83" s="28"/>
      <c r="V83" s="28"/>
      <c r="Y83" s="28"/>
    </row>
    <row r="84">
      <c r="N84" s="28"/>
      <c r="Q84" s="28"/>
      <c r="T84" s="28"/>
      <c r="V84" s="28"/>
      <c r="Y84" s="28"/>
    </row>
    <row r="85">
      <c r="N85" s="28"/>
      <c r="Q85" s="28"/>
      <c r="T85" s="28"/>
      <c r="V85" s="28"/>
      <c r="Y85" s="28"/>
    </row>
    <row r="86">
      <c r="N86" s="28"/>
      <c r="Q86" s="28"/>
      <c r="T86" s="28"/>
      <c r="V86" s="28"/>
      <c r="Y86" s="28"/>
    </row>
    <row r="87">
      <c r="N87" s="28"/>
      <c r="Q87" s="28"/>
      <c r="T87" s="28"/>
      <c r="V87" s="28"/>
      <c r="Y87" s="28"/>
    </row>
    <row r="88">
      <c r="N88" s="28"/>
      <c r="Q88" s="28"/>
      <c r="T88" s="28"/>
      <c r="V88" s="28"/>
      <c r="Y88" s="28"/>
    </row>
    <row r="89">
      <c r="N89" s="28"/>
      <c r="Q89" s="28"/>
      <c r="T89" s="28"/>
      <c r="V89" s="28"/>
      <c r="Y89" s="28"/>
    </row>
    <row r="90">
      <c r="N90" s="28"/>
      <c r="Q90" s="28"/>
      <c r="T90" s="28"/>
      <c r="V90" s="28"/>
      <c r="Y90" s="28"/>
    </row>
    <row r="91">
      <c r="N91" s="28"/>
      <c r="Q91" s="28"/>
      <c r="T91" s="28"/>
      <c r="V91" s="28"/>
      <c r="Y91" s="28"/>
    </row>
    <row r="92">
      <c r="N92" s="28"/>
      <c r="Q92" s="28"/>
      <c r="T92" s="28"/>
      <c r="V92" s="28"/>
      <c r="Y92" s="28"/>
    </row>
    <row r="93">
      <c r="N93" s="28"/>
      <c r="Q93" s="28"/>
      <c r="T93" s="28"/>
      <c r="V93" s="28"/>
      <c r="Y93" s="28"/>
    </row>
    <row r="94">
      <c r="N94" s="28"/>
      <c r="Q94" s="28"/>
      <c r="T94" s="28"/>
      <c r="V94" s="28"/>
      <c r="Y94" s="28"/>
    </row>
    <row r="95">
      <c r="N95" s="28"/>
      <c r="Q95" s="28"/>
      <c r="T95" s="28"/>
      <c r="V95" s="28"/>
      <c r="Y95" s="28"/>
    </row>
    <row r="96">
      <c r="N96" s="28"/>
      <c r="Q96" s="28"/>
      <c r="T96" s="28"/>
      <c r="V96" s="28"/>
      <c r="Y96" s="28"/>
    </row>
    <row r="97">
      <c r="N97" s="28"/>
      <c r="Q97" s="28"/>
      <c r="T97" s="28"/>
      <c r="V97" s="28"/>
      <c r="Y97" s="28"/>
    </row>
    <row r="98">
      <c r="N98" s="28"/>
      <c r="Q98" s="28"/>
      <c r="T98" s="28"/>
      <c r="V98" s="28"/>
      <c r="Y98" s="28"/>
    </row>
    <row r="99">
      <c r="N99" s="28"/>
      <c r="Q99" s="28"/>
      <c r="T99" s="28"/>
      <c r="V99" s="28"/>
      <c r="Y99" s="28"/>
    </row>
    <row r="100">
      <c r="N100" s="28"/>
      <c r="Q100" s="28"/>
      <c r="T100" s="28"/>
      <c r="V100" s="28"/>
      <c r="Y100" s="28"/>
    </row>
    <row r="101">
      <c r="N101" s="28"/>
      <c r="Q101" s="28"/>
      <c r="T101" s="28"/>
      <c r="V101" s="28"/>
      <c r="Y101" s="28"/>
    </row>
    <row r="102">
      <c r="N102" s="28"/>
      <c r="Q102" s="28"/>
      <c r="T102" s="28"/>
      <c r="V102" s="28"/>
      <c r="Y102" s="28"/>
    </row>
    <row r="103">
      <c r="N103" s="28"/>
      <c r="Q103" s="28"/>
      <c r="T103" s="28"/>
      <c r="V103" s="28"/>
      <c r="Y103" s="28"/>
    </row>
    <row r="104">
      <c r="N104" s="28"/>
      <c r="Q104" s="28"/>
      <c r="T104" s="28"/>
      <c r="V104" s="28"/>
      <c r="Y104" s="28"/>
    </row>
    <row r="105">
      <c r="N105" s="28"/>
      <c r="Q105" s="28"/>
      <c r="T105" s="28"/>
      <c r="V105" s="28"/>
      <c r="Y105" s="28"/>
    </row>
    <row r="106">
      <c r="N106" s="28"/>
      <c r="Q106" s="28"/>
      <c r="T106" s="28"/>
      <c r="V106" s="28"/>
      <c r="Y106" s="28"/>
    </row>
    <row r="107">
      <c r="N107" s="28"/>
      <c r="Q107" s="28"/>
      <c r="T107" s="28"/>
      <c r="V107" s="28"/>
      <c r="Y107" s="28"/>
    </row>
    <row r="108">
      <c r="N108" s="28"/>
      <c r="Q108" s="28"/>
      <c r="T108" s="28"/>
      <c r="V108" s="28"/>
      <c r="Y108" s="28"/>
    </row>
    <row r="109">
      <c r="N109" s="28"/>
      <c r="Q109" s="28"/>
      <c r="T109" s="28"/>
      <c r="V109" s="28"/>
      <c r="Y109" s="28"/>
    </row>
    <row r="110">
      <c r="N110" s="28"/>
      <c r="Q110" s="28"/>
      <c r="T110" s="28"/>
      <c r="V110" s="28"/>
      <c r="Y110" s="28"/>
    </row>
    <row r="111">
      <c r="N111" s="28"/>
      <c r="Q111" s="28"/>
      <c r="T111" s="28"/>
      <c r="V111" s="28"/>
      <c r="Y111" s="28"/>
    </row>
    <row r="112">
      <c r="N112" s="28"/>
      <c r="Q112" s="28"/>
      <c r="T112" s="28"/>
      <c r="V112" s="28"/>
      <c r="Y112" s="28"/>
    </row>
    <row r="113">
      <c r="N113" s="28"/>
      <c r="Q113" s="28"/>
      <c r="T113" s="28"/>
      <c r="V113" s="28"/>
      <c r="Y113" s="28"/>
    </row>
    <row r="114">
      <c r="N114" s="28"/>
      <c r="Q114" s="28"/>
      <c r="T114" s="28"/>
      <c r="V114" s="28"/>
      <c r="Y114" s="28"/>
    </row>
    <row r="115">
      <c r="N115" s="28"/>
      <c r="Q115" s="28"/>
      <c r="T115" s="28"/>
      <c r="V115" s="28"/>
      <c r="Y115" s="28"/>
    </row>
    <row r="116">
      <c r="N116" s="28"/>
      <c r="Q116" s="28"/>
      <c r="T116" s="28"/>
      <c r="V116" s="28"/>
      <c r="Y116" s="28"/>
    </row>
    <row r="117">
      <c r="N117" s="28"/>
      <c r="Q117" s="28"/>
      <c r="T117" s="28"/>
      <c r="V117" s="28"/>
      <c r="Y117" s="28"/>
    </row>
    <row r="118">
      <c r="N118" s="28"/>
      <c r="Q118" s="28"/>
      <c r="T118" s="28"/>
      <c r="V118" s="28"/>
      <c r="Y118" s="28"/>
    </row>
    <row r="119">
      <c r="N119" s="28"/>
      <c r="Q119" s="28"/>
      <c r="T119" s="28"/>
      <c r="V119" s="28"/>
      <c r="Y119" s="28"/>
    </row>
    <row r="120">
      <c r="N120" s="28"/>
      <c r="Q120" s="28"/>
      <c r="T120" s="28"/>
      <c r="V120" s="28"/>
      <c r="Y120" s="28"/>
    </row>
    <row r="121">
      <c r="N121" s="28"/>
      <c r="Q121" s="28"/>
      <c r="T121" s="28"/>
      <c r="V121" s="28"/>
      <c r="Y121" s="28"/>
    </row>
    <row r="122">
      <c r="N122" s="28"/>
      <c r="Q122" s="28"/>
      <c r="T122" s="28"/>
      <c r="V122" s="28"/>
      <c r="Y122" s="28"/>
    </row>
    <row r="123">
      <c r="N123" s="28"/>
      <c r="Q123" s="28"/>
      <c r="T123" s="28"/>
      <c r="V123" s="28"/>
      <c r="Y123" s="28"/>
    </row>
    <row r="124">
      <c r="N124" s="28"/>
      <c r="Q124" s="28"/>
      <c r="T124" s="28"/>
      <c r="V124" s="28"/>
      <c r="Y124" s="28"/>
    </row>
    <row r="125">
      <c r="N125" s="28"/>
      <c r="Q125" s="28"/>
      <c r="T125" s="28"/>
      <c r="V125" s="28"/>
      <c r="Y125" s="28"/>
    </row>
    <row r="126">
      <c r="N126" s="28"/>
      <c r="Q126" s="28"/>
      <c r="T126" s="28"/>
      <c r="V126" s="28"/>
      <c r="Y126" s="28"/>
    </row>
    <row r="127">
      <c r="N127" s="28"/>
      <c r="Q127" s="28"/>
      <c r="T127" s="28"/>
      <c r="V127" s="28"/>
      <c r="Y127" s="28"/>
    </row>
    <row r="128">
      <c r="N128" s="28"/>
      <c r="Q128" s="28"/>
      <c r="T128" s="28"/>
      <c r="V128" s="28"/>
      <c r="Y128" s="28"/>
    </row>
    <row r="129">
      <c r="N129" s="28"/>
      <c r="Q129" s="28"/>
      <c r="T129" s="28"/>
      <c r="V129" s="28"/>
      <c r="Y129" s="28"/>
    </row>
    <row r="130">
      <c r="N130" s="28"/>
      <c r="Q130" s="28"/>
      <c r="T130" s="28"/>
      <c r="V130" s="28"/>
      <c r="Y130" s="28"/>
    </row>
    <row r="131">
      <c r="N131" s="28"/>
      <c r="Q131" s="28"/>
      <c r="T131" s="28"/>
      <c r="V131" s="28"/>
      <c r="Y131" s="28"/>
    </row>
    <row r="132">
      <c r="N132" s="28"/>
      <c r="Q132" s="28"/>
      <c r="T132" s="28"/>
      <c r="V132" s="28"/>
      <c r="Y132" s="28"/>
    </row>
    <row r="133">
      <c r="N133" s="28"/>
      <c r="Q133" s="28"/>
      <c r="T133" s="28"/>
      <c r="V133" s="28"/>
      <c r="Y133" s="28"/>
    </row>
    <row r="134">
      <c r="N134" s="28"/>
      <c r="Q134" s="28"/>
      <c r="T134" s="28"/>
      <c r="V134" s="28"/>
      <c r="Y134" s="28"/>
    </row>
    <row r="135">
      <c r="N135" s="28"/>
      <c r="Q135" s="28"/>
      <c r="T135" s="28"/>
      <c r="V135" s="28"/>
      <c r="Y135" s="28"/>
    </row>
    <row r="136">
      <c r="N136" s="28"/>
      <c r="Q136" s="28"/>
      <c r="T136" s="28"/>
      <c r="V136" s="28"/>
      <c r="Y136" s="28"/>
    </row>
    <row r="137">
      <c r="N137" s="28"/>
      <c r="Q137" s="28"/>
      <c r="T137" s="28"/>
      <c r="V137" s="28"/>
      <c r="Y137" s="28"/>
    </row>
    <row r="138">
      <c r="N138" s="28"/>
      <c r="Q138" s="28"/>
      <c r="T138" s="28"/>
      <c r="V138" s="28"/>
      <c r="Y138" s="28"/>
    </row>
    <row r="139">
      <c r="N139" s="28"/>
      <c r="Q139" s="28"/>
      <c r="T139" s="28"/>
      <c r="V139" s="28"/>
      <c r="Y139" s="28"/>
    </row>
    <row r="140">
      <c r="N140" s="28"/>
      <c r="Q140" s="28"/>
      <c r="T140" s="28"/>
      <c r="V140" s="28"/>
      <c r="Y140" s="28"/>
    </row>
    <row r="141">
      <c r="N141" s="28"/>
      <c r="Q141" s="28"/>
      <c r="T141" s="28"/>
      <c r="V141" s="28"/>
      <c r="Y141" s="28"/>
    </row>
    <row r="142">
      <c r="N142" s="28"/>
      <c r="Q142" s="28"/>
      <c r="T142" s="28"/>
      <c r="V142" s="28"/>
      <c r="Y142" s="28"/>
    </row>
    <row r="143">
      <c r="N143" s="28"/>
      <c r="Q143" s="28"/>
      <c r="T143" s="28"/>
      <c r="V143" s="28"/>
      <c r="Y143" s="28"/>
    </row>
    <row r="144">
      <c r="N144" s="28"/>
      <c r="Q144" s="28"/>
      <c r="T144" s="28"/>
      <c r="V144" s="28"/>
      <c r="Y144" s="28"/>
    </row>
    <row r="145">
      <c r="N145" s="28"/>
      <c r="Q145" s="28"/>
      <c r="T145" s="28"/>
      <c r="V145" s="28"/>
      <c r="Y145" s="28"/>
    </row>
    <row r="146">
      <c r="N146" s="28"/>
      <c r="Q146" s="28"/>
      <c r="T146" s="28"/>
      <c r="V146" s="28"/>
      <c r="Y146" s="28"/>
    </row>
    <row r="147">
      <c r="N147" s="28"/>
      <c r="Q147" s="28"/>
      <c r="T147" s="28"/>
      <c r="V147" s="28"/>
      <c r="Y147" s="28"/>
    </row>
    <row r="148">
      <c r="N148" s="28"/>
      <c r="Q148" s="28"/>
      <c r="T148" s="28"/>
      <c r="V148" s="28"/>
      <c r="Y148" s="28"/>
    </row>
    <row r="149">
      <c r="N149" s="28"/>
      <c r="Q149" s="28"/>
      <c r="T149" s="28"/>
      <c r="V149" s="28"/>
      <c r="Y149" s="28"/>
    </row>
    <row r="150">
      <c r="N150" s="28"/>
      <c r="Q150" s="28"/>
      <c r="T150" s="28"/>
      <c r="V150" s="28"/>
      <c r="Y150" s="28"/>
    </row>
    <row r="151">
      <c r="N151" s="28"/>
      <c r="Q151" s="28"/>
      <c r="T151" s="28"/>
      <c r="V151" s="28"/>
      <c r="Y151" s="28"/>
    </row>
    <row r="152">
      <c r="N152" s="28"/>
      <c r="Q152" s="28"/>
      <c r="T152" s="28"/>
      <c r="V152" s="28"/>
      <c r="Y152" s="28"/>
    </row>
    <row r="153">
      <c r="N153" s="28"/>
      <c r="Q153" s="28"/>
      <c r="T153" s="28"/>
      <c r="V153" s="28"/>
      <c r="Y153" s="28"/>
    </row>
    <row r="154">
      <c r="N154" s="28"/>
      <c r="Q154" s="28"/>
      <c r="T154" s="28"/>
      <c r="V154" s="28"/>
      <c r="Y154" s="28"/>
    </row>
    <row r="155">
      <c r="N155" s="28"/>
      <c r="Q155" s="28"/>
      <c r="T155" s="28"/>
      <c r="V155" s="28"/>
      <c r="Y155" s="28"/>
    </row>
    <row r="156">
      <c r="N156" s="28"/>
      <c r="Q156" s="28"/>
      <c r="T156" s="28"/>
      <c r="V156" s="28"/>
      <c r="Y156" s="28"/>
    </row>
    <row r="157">
      <c r="N157" s="28"/>
      <c r="Q157" s="28"/>
      <c r="T157" s="28"/>
      <c r="V157" s="28"/>
      <c r="Y157" s="28"/>
    </row>
    <row r="158">
      <c r="N158" s="28"/>
      <c r="Q158" s="28"/>
      <c r="T158" s="28"/>
      <c r="V158" s="28"/>
      <c r="Y158" s="28"/>
    </row>
    <row r="159">
      <c r="N159" s="28"/>
      <c r="Q159" s="28"/>
      <c r="T159" s="28"/>
      <c r="V159" s="28"/>
      <c r="Y159" s="28"/>
    </row>
    <row r="160">
      <c r="N160" s="28"/>
      <c r="Q160" s="28"/>
      <c r="T160" s="28"/>
      <c r="V160" s="28"/>
      <c r="Y160" s="28"/>
    </row>
    <row r="161">
      <c r="N161" s="28"/>
      <c r="Q161" s="28"/>
      <c r="T161" s="28"/>
      <c r="V161" s="28"/>
      <c r="Y161" s="28"/>
    </row>
    <row r="162">
      <c r="N162" s="28"/>
      <c r="Q162" s="28"/>
      <c r="T162" s="28"/>
      <c r="V162" s="28"/>
      <c r="Y162" s="28"/>
    </row>
    <row r="163">
      <c r="N163" s="28"/>
      <c r="Q163" s="28"/>
      <c r="T163" s="28"/>
      <c r="V163" s="28"/>
      <c r="Y163" s="28"/>
    </row>
    <row r="164">
      <c r="N164" s="28"/>
      <c r="Q164" s="28"/>
      <c r="T164" s="28"/>
      <c r="V164" s="28"/>
      <c r="Y164" s="28"/>
    </row>
    <row r="165">
      <c r="N165" s="28"/>
      <c r="Q165" s="28"/>
      <c r="T165" s="28"/>
      <c r="V165" s="28"/>
      <c r="Y165" s="28"/>
    </row>
    <row r="166">
      <c r="N166" s="28"/>
      <c r="Q166" s="28"/>
      <c r="T166" s="28"/>
      <c r="V166" s="28"/>
      <c r="Y166" s="28"/>
    </row>
    <row r="167">
      <c r="N167" s="28"/>
      <c r="Q167" s="28"/>
      <c r="T167" s="28"/>
      <c r="V167" s="28"/>
      <c r="Y167" s="28"/>
    </row>
    <row r="168">
      <c r="N168" s="28"/>
      <c r="Q168" s="28"/>
      <c r="T168" s="28"/>
      <c r="V168" s="28"/>
      <c r="Y168" s="28"/>
    </row>
    <row r="169">
      <c r="N169" s="28"/>
      <c r="Q169" s="28"/>
      <c r="T169" s="28"/>
      <c r="V169" s="28"/>
      <c r="Y169" s="28"/>
    </row>
    <row r="170">
      <c r="N170" s="28"/>
      <c r="Q170" s="28"/>
      <c r="T170" s="28"/>
      <c r="V170" s="28"/>
      <c r="Y170" s="28"/>
    </row>
    <row r="171">
      <c r="N171" s="28"/>
      <c r="Q171" s="28"/>
      <c r="T171" s="28"/>
      <c r="V171" s="28"/>
      <c r="Y171" s="28"/>
    </row>
    <row r="172">
      <c r="N172" s="28"/>
      <c r="Q172" s="28"/>
      <c r="T172" s="28"/>
      <c r="V172" s="28"/>
      <c r="Y172" s="28"/>
    </row>
    <row r="173">
      <c r="N173" s="28"/>
      <c r="Q173" s="28"/>
      <c r="T173" s="28"/>
      <c r="V173" s="28"/>
      <c r="Y173" s="28"/>
    </row>
    <row r="174">
      <c r="N174" s="28"/>
      <c r="Q174" s="28"/>
      <c r="T174" s="28"/>
      <c r="V174" s="28"/>
      <c r="Y174" s="28"/>
    </row>
    <row r="175">
      <c r="N175" s="28"/>
      <c r="Q175" s="28"/>
      <c r="T175" s="28"/>
      <c r="V175" s="28"/>
      <c r="Y175" s="28"/>
    </row>
    <row r="176">
      <c r="N176" s="28"/>
      <c r="Q176" s="28"/>
      <c r="T176" s="28"/>
      <c r="V176" s="28"/>
      <c r="Y176" s="28"/>
    </row>
    <row r="177">
      <c r="N177" s="28"/>
      <c r="Q177" s="28"/>
      <c r="T177" s="28"/>
      <c r="V177" s="28"/>
      <c r="Y177" s="28"/>
    </row>
    <row r="178">
      <c r="N178" s="28"/>
      <c r="Q178" s="28"/>
      <c r="T178" s="28"/>
      <c r="V178" s="28"/>
      <c r="Y178" s="28"/>
    </row>
    <row r="179">
      <c r="N179" s="28"/>
      <c r="Q179" s="28"/>
      <c r="T179" s="28"/>
      <c r="V179" s="28"/>
      <c r="Y179" s="28"/>
    </row>
    <row r="180">
      <c r="N180" s="28"/>
      <c r="Q180" s="28"/>
      <c r="T180" s="28"/>
      <c r="V180" s="28"/>
      <c r="Y180" s="28"/>
    </row>
    <row r="181">
      <c r="N181" s="28"/>
      <c r="Q181" s="28"/>
      <c r="T181" s="28"/>
      <c r="V181" s="28"/>
      <c r="Y181" s="28"/>
    </row>
    <row r="182">
      <c r="N182" s="28"/>
      <c r="Q182" s="28"/>
      <c r="T182" s="28"/>
      <c r="V182" s="28"/>
      <c r="Y182" s="28"/>
    </row>
    <row r="183">
      <c r="N183" s="28"/>
      <c r="Q183" s="28"/>
      <c r="T183" s="28"/>
      <c r="V183" s="28"/>
      <c r="Y183" s="28"/>
    </row>
    <row r="184">
      <c r="N184" s="28"/>
      <c r="Q184" s="28"/>
      <c r="T184" s="28"/>
      <c r="V184" s="28"/>
      <c r="Y184" s="28"/>
    </row>
    <row r="185">
      <c r="N185" s="28"/>
      <c r="Q185" s="28"/>
      <c r="T185" s="28"/>
      <c r="V185" s="28"/>
      <c r="Y185" s="28"/>
    </row>
    <row r="186">
      <c r="N186" s="28"/>
      <c r="Q186" s="28"/>
      <c r="T186" s="28"/>
      <c r="V186" s="28"/>
      <c r="Y186" s="28"/>
    </row>
    <row r="187">
      <c r="N187" s="28"/>
      <c r="Q187" s="28"/>
      <c r="T187" s="28"/>
      <c r="V187" s="28"/>
      <c r="Y187" s="28"/>
    </row>
    <row r="188">
      <c r="N188" s="28"/>
      <c r="Q188" s="28"/>
      <c r="T188" s="28"/>
      <c r="V188" s="28"/>
      <c r="Y188" s="28"/>
    </row>
    <row r="189">
      <c r="N189" s="28"/>
      <c r="Q189" s="28"/>
      <c r="T189" s="28"/>
      <c r="V189" s="28"/>
      <c r="Y189" s="28"/>
    </row>
    <row r="190">
      <c r="N190" s="28"/>
      <c r="Q190" s="28"/>
      <c r="T190" s="28"/>
      <c r="V190" s="28"/>
      <c r="Y190" s="28"/>
    </row>
    <row r="191">
      <c r="N191" s="28"/>
      <c r="Q191" s="28"/>
      <c r="T191" s="28"/>
      <c r="V191" s="28"/>
      <c r="Y191" s="28"/>
    </row>
    <row r="192">
      <c r="N192" s="28"/>
      <c r="Q192" s="28"/>
      <c r="T192" s="28"/>
      <c r="V192" s="28"/>
      <c r="Y192" s="28"/>
    </row>
    <row r="193">
      <c r="N193" s="28"/>
      <c r="Q193" s="28"/>
      <c r="T193" s="28"/>
      <c r="V193" s="28"/>
      <c r="Y193" s="28"/>
    </row>
    <row r="194">
      <c r="N194" s="28"/>
      <c r="Q194" s="28"/>
      <c r="T194" s="28"/>
      <c r="V194" s="28"/>
      <c r="Y194" s="28"/>
    </row>
    <row r="195">
      <c r="N195" s="28"/>
      <c r="Q195" s="28"/>
      <c r="T195" s="28"/>
      <c r="V195" s="28"/>
      <c r="Y195" s="28"/>
    </row>
    <row r="196">
      <c r="N196" s="28"/>
      <c r="Q196" s="28"/>
      <c r="T196" s="28"/>
      <c r="V196" s="28"/>
      <c r="Y196" s="28"/>
    </row>
    <row r="197">
      <c r="N197" s="28"/>
      <c r="Q197" s="28"/>
      <c r="T197" s="28"/>
      <c r="V197" s="28"/>
      <c r="Y197" s="28"/>
    </row>
    <row r="198">
      <c r="N198" s="28"/>
      <c r="Q198" s="28"/>
      <c r="T198" s="28"/>
      <c r="V198" s="28"/>
      <c r="Y198" s="28"/>
    </row>
    <row r="199">
      <c r="N199" s="28"/>
      <c r="Q199" s="28"/>
      <c r="T199" s="28"/>
      <c r="V199" s="28"/>
      <c r="Y199" s="28"/>
    </row>
    <row r="200">
      <c r="N200" s="28"/>
      <c r="Q200" s="28"/>
      <c r="T200" s="28"/>
      <c r="V200" s="28"/>
      <c r="Y200" s="28"/>
    </row>
    <row r="201">
      <c r="N201" s="28"/>
      <c r="Q201" s="28"/>
      <c r="T201" s="28"/>
      <c r="V201" s="28"/>
      <c r="Y201" s="28"/>
    </row>
    <row r="202">
      <c r="N202" s="28"/>
      <c r="Q202" s="28"/>
      <c r="T202" s="28"/>
      <c r="V202" s="28"/>
      <c r="Y202" s="28"/>
    </row>
    <row r="203">
      <c r="N203" s="28"/>
      <c r="Q203" s="28"/>
      <c r="T203" s="28"/>
      <c r="V203" s="28"/>
      <c r="Y203" s="28"/>
    </row>
    <row r="204">
      <c r="N204" s="28"/>
      <c r="Q204" s="28"/>
      <c r="T204" s="28"/>
      <c r="V204" s="28"/>
      <c r="Y204" s="28"/>
    </row>
    <row r="205">
      <c r="N205" s="28"/>
      <c r="Q205" s="28"/>
      <c r="T205" s="28"/>
      <c r="V205" s="28"/>
      <c r="Y205" s="28"/>
    </row>
    <row r="206">
      <c r="N206" s="28"/>
      <c r="Q206" s="28"/>
      <c r="T206" s="28"/>
      <c r="V206" s="28"/>
      <c r="Y206" s="28"/>
    </row>
    <row r="207">
      <c r="N207" s="28"/>
      <c r="Q207" s="28"/>
      <c r="T207" s="28"/>
      <c r="V207" s="28"/>
      <c r="Y207" s="28"/>
    </row>
    <row r="208">
      <c r="N208" s="28"/>
      <c r="Q208" s="28"/>
      <c r="T208" s="28"/>
      <c r="V208" s="28"/>
      <c r="Y208" s="28"/>
    </row>
    <row r="209">
      <c r="N209" s="28"/>
      <c r="Q209" s="28"/>
      <c r="T209" s="28"/>
      <c r="V209" s="28"/>
      <c r="Y209" s="28"/>
    </row>
    <row r="210">
      <c r="N210" s="28"/>
      <c r="Q210" s="28"/>
      <c r="T210" s="28"/>
      <c r="V210" s="28"/>
      <c r="Y210" s="28"/>
    </row>
    <row r="211">
      <c r="N211" s="28"/>
      <c r="Q211" s="28"/>
      <c r="T211" s="28"/>
      <c r="V211" s="28"/>
      <c r="Y211" s="28"/>
    </row>
    <row r="212">
      <c r="N212" s="28"/>
      <c r="Q212" s="28"/>
      <c r="T212" s="28"/>
      <c r="V212" s="28"/>
      <c r="Y212" s="28"/>
    </row>
    <row r="213">
      <c r="N213" s="28"/>
      <c r="Q213" s="28"/>
      <c r="T213" s="28"/>
      <c r="V213" s="28"/>
      <c r="Y213" s="28"/>
    </row>
    <row r="214">
      <c r="N214" s="28"/>
      <c r="Q214" s="28"/>
      <c r="T214" s="28"/>
      <c r="V214" s="28"/>
      <c r="Y214" s="28"/>
    </row>
    <row r="215">
      <c r="N215" s="28"/>
      <c r="Q215" s="28"/>
      <c r="T215" s="28"/>
      <c r="V215" s="28"/>
      <c r="Y215" s="28"/>
    </row>
    <row r="216">
      <c r="N216" s="28"/>
      <c r="Q216" s="28"/>
      <c r="T216" s="28"/>
      <c r="V216" s="28"/>
      <c r="Y216" s="28"/>
    </row>
    <row r="217">
      <c r="N217" s="28"/>
      <c r="Q217" s="28"/>
      <c r="T217" s="28"/>
      <c r="V217" s="28"/>
      <c r="Y217" s="28"/>
    </row>
    <row r="218">
      <c r="N218" s="28"/>
      <c r="Q218" s="28"/>
      <c r="T218" s="28"/>
      <c r="V218" s="28"/>
      <c r="Y218" s="28"/>
    </row>
    <row r="219">
      <c r="N219" s="28"/>
      <c r="Q219" s="28"/>
      <c r="T219" s="28"/>
      <c r="V219" s="28"/>
      <c r="Y219" s="28"/>
    </row>
    <row r="220">
      <c r="N220" s="28"/>
      <c r="Q220" s="28"/>
      <c r="T220" s="28"/>
      <c r="V220" s="28"/>
      <c r="Y220" s="28"/>
    </row>
    <row r="221">
      <c r="N221" s="28"/>
      <c r="Q221" s="28"/>
      <c r="T221" s="28"/>
      <c r="V221" s="28"/>
      <c r="Y221" s="28"/>
    </row>
    <row r="222">
      <c r="N222" s="28"/>
      <c r="Q222" s="28"/>
      <c r="T222" s="28"/>
      <c r="V222" s="28"/>
      <c r="Y222" s="28"/>
    </row>
    <row r="223">
      <c r="N223" s="28"/>
      <c r="Q223" s="28"/>
      <c r="T223" s="28"/>
      <c r="V223" s="28"/>
      <c r="Y223" s="28"/>
    </row>
    <row r="224">
      <c r="N224" s="28"/>
      <c r="Q224" s="28"/>
      <c r="T224" s="28"/>
      <c r="V224" s="28"/>
      <c r="Y224" s="28"/>
    </row>
    <row r="225">
      <c r="N225" s="28"/>
      <c r="Q225" s="28"/>
      <c r="T225" s="28"/>
      <c r="V225" s="28"/>
      <c r="Y225" s="28"/>
    </row>
    <row r="226">
      <c r="N226" s="28"/>
      <c r="Q226" s="28"/>
      <c r="T226" s="28"/>
      <c r="V226" s="28"/>
      <c r="Y226" s="28"/>
    </row>
    <row r="227">
      <c r="N227" s="28"/>
      <c r="Q227" s="28"/>
      <c r="T227" s="28"/>
      <c r="V227" s="28"/>
      <c r="Y227" s="28"/>
    </row>
    <row r="228">
      <c r="N228" s="28"/>
      <c r="Q228" s="28"/>
      <c r="T228" s="28"/>
      <c r="V228" s="28"/>
      <c r="Y228" s="28"/>
    </row>
    <row r="229">
      <c r="N229" s="28"/>
      <c r="Q229" s="28"/>
      <c r="T229" s="28"/>
      <c r="V229" s="28"/>
      <c r="Y229" s="28"/>
    </row>
    <row r="230">
      <c r="N230" s="28"/>
      <c r="Q230" s="28"/>
      <c r="T230" s="28"/>
      <c r="V230" s="28"/>
      <c r="Y230" s="28"/>
    </row>
    <row r="231">
      <c r="N231" s="28"/>
      <c r="Q231" s="28"/>
      <c r="T231" s="28"/>
      <c r="V231" s="28"/>
      <c r="Y231" s="28"/>
    </row>
    <row r="232">
      <c r="N232" s="28"/>
      <c r="Q232" s="28"/>
      <c r="T232" s="28"/>
      <c r="V232" s="28"/>
      <c r="Y232" s="28"/>
    </row>
    <row r="233">
      <c r="N233" s="28"/>
      <c r="Q233" s="28"/>
      <c r="T233" s="28"/>
      <c r="V233" s="28"/>
      <c r="Y233" s="28"/>
    </row>
    <row r="234">
      <c r="N234" s="28"/>
      <c r="Q234" s="28"/>
      <c r="T234" s="28"/>
      <c r="V234" s="28"/>
      <c r="Y234" s="28"/>
    </row>
    <row r="235">
      <c r="N235" s="28"/>
      <c r="Q235" s="28"/>
      <c r="T235" s="28"/>
      <c r="V235" s="28"/>
      <c r="Y235" s="28"/>
    </row>
    <row r="236">
      <c r="N236" s="28"/>
      <c r="Q236" s="28"/>
      <c r="T236" s="28"/>
      <c r="V236" s="28"/>
      <c r="Y236" s="28"/>
    </row>
    <row r="237">
      <c r="N237" s="28"/>
      <c r="Q237" s="28"/>
      <c r="T237" s="28"/>
      <c r="V237" s="28"/>
      <c r="Y237" s="28"/>
    </row>
    <row r="238">
      <c r="N238" s="28"/>
      <c r="Q238" s="28"/>
      <c r="T238" s="28"/>
      <c r="V238" s="28"/>
      <c r="Y238" s="28"/>
    </row>
    <row r="239">
      <c r="N239" s="28"/>
      <c r="Q239" s="28"/>
      <c r="T239" s="28"/>
      <c r="V239" s="28"/>
      <c r="Y239" s="28"/>
    </row>
    <row r="240">
      <c r="N240" s="28"/>
      <c r="Q240" s="28"/>
      <c r="T240" s="28"/>
      <c r="V240" s="28"/>
      <c r="Y240" s="28"/>
    </row>
    <row r="241">
      <c r="N241" s="28"/>
      <c r="Q241" s="28"/>
      <c r="T241" s="28"/>
      <c r="V241" s="28"/>
      <c r="Y241" s="28"/>
    </row>
    <row r="242">
      <c r="N242" s="28"/>
      <c r="Q242" s="28"/>
      <c r="T242" s="28"/>
      <c r="V242" s="28"/>
      <c r="Y242" s="28"/>
    </row>
    <row r="243">
      <c r="N243" s="28"/>
      <c r="Q243" s="28"/>
      <c r="T243" s="28"/>
      <c r="V243" s="28"/>
      <c r="Y243" s="28"/>
    </row>
    <row r="244">
      <c r="N244" s="28"/>
      <c r="Q244" s="28"/>
      <c r="T244" s="28"/>
      <c r="V244" s="28"/>
      <c r="Y244" s="28"/>
    </row>
    <row r="245">
      <c r="N245" s="28"/>
      <c r="Q245" s="28"/>
      <c r="T245" s="28"/>
      <c r="V245" s="28"/>
      <c r="Y245" s="28"/>
    </row>
    <row r="246">
      <c r="N246" s="28"/>
      <c r="Q246" s="28"/>
      <c r="T246" s="28"/>
      <c r="V246" s="28"/>
      <c r="Y246" s="28"/>
    </row>
    <row r="247">
      <c r="N247" s="28"/>
      <c r="Q247" s="28"/>
      <c r="T247" s="28"/>
      <c r="V247" s="28"/>
      <c r="Y247" s="28"/>
    </row>
    <row r="248">
      <c r="N248" s="28"/>
      <c r="Q248" s="28"/>
      <c r="T248" s="28"/>
      <c r="V248" s="28"/>
      <c r="Y248" s="28"/>
    </row>
    <row r="249">
      <c r="N249" s="28"/>
      <c r="Q249" s="28"/>
      <c r="T249" s="28"/>
      <c r="V249" s="28"/>
      <c r="Y249" s="28"/>
    </row>
    <row r="250">
      <c r="N250" s="28"/>
      <c r="Q250" s="28"/>
      <c r="T250" s="28"/>
      <c r="V250" s="28"/>
      <c r="Y250" s="28"/>
    </row>
    <row r="251">
      <c r="N251" s="28"/>
      <c r="Q251" s="28"/>
      <c r="T251" s="28"/>
      <c r="V251" s="28"/>
      <c r="Y251" s="28"/>
    </row>
    <row r="252">
      <c r="N252" s="28"/>
      <c r="Q252" s="28"/>
      <c r="T252" s="28"/>
      <c r="V252" s="28"/>
      <c r="Y252" s="28"/>
    </row>
    <row r="253">
      <c r="N253" s="28"/>
      <c r="Q253" s="28"/>
      <c r="T253" s="28"/>
      <c r="V253" s="28"/>
      <c r="Y253" s="28"/>
    </row>
    <row r="254">
      <c r="N254" s="28"/>
      <c r="Q254" s="28"/>
      <c r="T254" s="28"/>
      <c r="V254" s="28"/>
      <c r="Y254" s="28"/>
    </row>
    <row r="255">
      <c r="N255" s="28"/>
      <c r="Q255" s="28"/>
      <c r="T255" s="28"/>
      <c r="V255" s="28"/>
      <c r="Y255" s="28"/>
    </row>
    <row r="256">
      <c r="N256" s="28"/>
      <c r="Q256" s="28"/>
      <c r="T256" s="28"/>
      <c r="V256" s="28"/>
      <c r="Y256" s="28"/>
    </row>
    <row r="257">
      <c r="N257" s="28"/>
      <c r="Q257" s="28"/>
      <c r="T257" s="28"/>
      <c r="V257" s="28"/>
      <c r="Y257" s="28"/>
    </row>
    <row r="258">
      <c r="N258" s="28"/>
      <c r="Q258" s="28"/>
      <c r="T258" s="28"/>
      <c r="V258" s="28"/>
      <c r="Y258" s="28"/>
    </row>
    <row r="259">
      <c r="N259" s="28"/>
      <c r="Q259" s="28"/>
      <c r="T259" s="28"/>
      <c r="V259" s="28"/>
      <c r="Y259" s="28"/>
    </row>
    <row r="260">
      <c r="N260" s="28"/>
      <c r="Q260" s="28"/>
      <c r="T260" s="28"/>
      <c r="V260" s="28"/>
      <c r="Y260" s="28"/>
    </row>
    <row r="261">
      <c r="N261" s="28"/>
      <c r="Q261" s="28"/>
      <c r="T261" s="28"/>
      <c r="V261" s="28"/>
      <c r="Y261" s="28"/>
    </row>
    <row r="262">
      <c r="N262" s="28"/>
      <c r="Q262" s="28"/>
      <c r="T262" s="28"/>
      <c r="V262" s="28"/>
      <c r="Y262" s="28"/>
    </row>
    <row r="263">
      <c r="N263" s="28"/>
      <c r="Q263" s="28"/>
      <c r="T263" s="28"/>
      <c r="V263" s="28"/>
      <c r="Y263" s="28"/>
    </row>
    <row r="264">
      <c r="N264" s="28"/>
      <c r="Q264" s="28"/>
      <c r="T264" s="28"/>
      <c r="V264" s="28"/>
      <c r="Y264" s="28"/>
    </row>
    <row r="265">
      <c r="N265" s="28"/>
      <c r="Q265" s="28"/>
      <c r="T265" s="28"/>
      <c r="V265" s="28"/>
      <c r="Y265" s="28"/>
    </row>
    <row r="266">
      <c r="N266" s="28"/>
      <c r="Q266" s="28"/>
      <c r="T266" s="28"/>
      <c r="V266" s="28"/>
      <c r="Y266" s="28"/>
    </row>
    <row r="267">
      <c r="N267" s="28"/>
      <c r="Q267" s="28"/>
      <c r="T267" s="28"/>
      <c r="V267" s="28"/>
      <c r="Y267" s="28"/>
    </row>
    <row r="268">
      <c r="N268" s="28"/>
      <c r="Q268" s="28"/>
      <c r="T268" s="28"/>
      <c r="V268" s="28"/>
      <c r="Y268" s="28"/>
    </row>
    <row r="269">
      <c r="N269" s="28"/>
      <c r="Q269" s="28"/>
      <c r="T269" s="28"/>
      <c r="V269" s="28"/>
      <c r="Y269" s="28"/>
    </row>
    <row r="270">
      <c r="N270" s="28"/>
      <c r="Q270" s="28"/>
      <c r="T270" s="28"/>
      <c r="V270" s="28"/>
      <c r="Y270" s="28"/>
    </row>
    <row r="271">
      <c r="N271" s="28"/>
      <c r="Q271" s="28"/>
      <c r="T271" s="28"/>
      <c r="V271" s="28"/>
      <c r="Y271" s="28"/>
    </row>
    <row r="272">
      <c r="N272" s="28"/>
      <c r="Q272" s="28"/>
      <c r="T272" s="28"/>
      <c r="V272" s="28"/>
      <c r="Y272" s="28"/>
    </row>
    <row r="273">
      <c r="N273" s="28"/>
      <c r="Q273" s="28"/>
      <c r="T273" s="28"/>
      <c r="V273" s="28"/>
      <c r="Y273" s="28"/>
    </row>
    <row r="274">
      <c r="N274" s="28"/>
      <c r="Q274" s="28"/>
      <c r="T274" s="28"/>
      <c r="V274" s="28"/>
      <c r="Y274" s="28"/>
    </row>
    <row r="275">
      <c r="N275" s="28"/>
      <c r="Q275" s="28"/>
      <c r="T275" s="28"/>
      <c r="V275" s="28"/>
      <c r="Y275" s="28"/>
    </row>
    <row r="276">
      <c r="N276" s="28"/>
      <c r="Q276" s="28"/>
      <c r="T276" s="28"/>
      <c r="V276" s="28"/>
      <c r="Y276" s="28"/>
    </row>
    <row r="277">
      <c r="N277" s="28"/>
      <c r="Q277" s="28"/>
      <c r="T277" s="28"/>
      <c r="V277" s="28"/>
      <c r="Y277" s="28"/>
    </row>
    <row r="278">
      <c r="N278" s="28"/>
      <c r="Q278" s="28"/>
      <c r="T278" s="28"/>
      <c r="V278" s="28"/>
      <c r="Y278" s="28"/>
    </row>
    <row r="279">
      <c r="N279" s="28"/>
      <c r="Q279" s="28"/>
      <c r="T279" s="28"/>
      <c r="V279" s="28"/>
      <c r="Y279" s="28"/>
    </row>
    <row r="280">
      <c r="N280" s="28"/>
      <c r="Q280" s="28"/>
      <c r="T280" s="28"/>
      <c r="V280" s="28"/>
      <c r="Y280" s="28"/>
    </row>
    <row r="281">
      <c r="N281" s="28"/>
      <c r="Q281" s="28"/>
      <c r="T281" s="28"/>
      <c r="V281" s="28"/>
      <c r="Y281" s="28"/>
    </row>
    <row r="282">
      <c r="N282" s="28"/>
      <c r="Q282" s="28"/>
      <c r="T282" s="28"/>
      <c r="V282" s="28"/>
      <c r="Y282" s="28"/>
    </row>
    <row r="283">
      <c r="N283" s="28"/>
      <c r="Q283" s="28"/>
      <c r="T283" s="28"/>
      <c r="V283" s="28"/>
      <c r="Y283" s="28"/>
    </row>
    <row r="284">
      <c r="N284" s="28"/>
      <c r="Q284" s="28"/>
      <c r="T284" s="28"/>
      <c r="V284" s="28"/>
      <c r="Y284" s="28"/>
    </row>
    <row r="285">
      <c r="N285" s="28"/>
      <c r="Q285" s="28"/>
      <c r="T285" s="28"/>
      <c r="V285" s="28"/>
      <c r="Y285" s="28"/>
    </row>
    <row r="286">
      <c r="N286" s="28"/>
      <c r="Q286" s="28"/>
      <c r="T286" s="28"/>
      <c r="V286" s="28"/>
      <c r="Y286" s="28"/>
    </row>
    <row r="287">
      <c r="N287" s="28"/>
      <c r="Q287" s="28"/>
      <c r="T287" s="28"/>
      <c r="V287" s="28"/>
      <c r="Y287" s="28"/>
    </row>
    <row r="288">
      <c r="N288" s="28"/>
      <c r="Q288" s="28"/>
      <c r="T288" s="28"/>
      <c r="V288" s="28"/>
      <c r="Y288" s="28"/>
    </row>
    <row r="289">
      <c r="N289" s="28"/>
      <c r="Q289" s="28"/>
      <c r="T289" s="28"/>
      <c r="V289" s="28"/>
      <c r="Y289" s="28"/>
    </row>
    <row r="290">
      <c r="N290" s="28"/>
      <c r="Q290" s="28"/>
      <c r="T290" s="28"/>
      <c r="V290" s="28"/>
      <c r="Y290" s="28"/>
    </row>
    <row r="291">
      <c r="N291" s="28"/>
      <c r="Q291" s="28"/>
      <c r="T291" s="28"/>
      <c r="V291" s="28"/>
      <c r="Y291" s="28"/>
    </row>
    <row r="292">
      <c r="N292" s="28"/>
      <c r="Q292" s="28"/>
      <c r="T292" s="28"/>
      <c r="V292" s="28"/>
      <c r="Y292" s="28"/>
    </row>
    <row r="293">
      <c r="N293" s="28"/>
      <c r="Q293" s="28"/>
      <c r="T293" s="28"/>
      <c r="V293" s="28"/>
      <c r="Y293" s="28"/>
    </row>
    <row r="294">
      <c r="N294" s="28"/>
      <c r="Q294" s="28"/>
      <c r="T294" s="28"/>
      <c r="V294" s="28"/>
      <c r="Y294" s="28"/>
    </row>
    <row r="295">
      <c r="N295" s="28"/>
      <c r="Q295" s="28"/>
      <c r="T295" s="28"/>
      <c r="V295" s="28"/>
      <c r="Y295" s="28"/>
    </row>
    <row r="296">
      <c r="N296" s="28"/>
      <c r="Q296" s="28"/>
      <c r="T296" s="28"/>
      <c r="V296" s="28"/>
      <c r="Y296" s="28"/>
    </row>
    <row r="297">
      <c r="N297" s="28"/>
      <c r="Q297" s="28"/>
      <c r="T297" s="28"/>
      <c r="V297" s="28"/>
      <c r="Y297" s="28"/>
    </row>
    <row r="298">
      <c r="N298" s="28"/>
      <c r="Q298" s="28"/>
      <c r="T298" s="28"/>
      <c r="V298" s="28"/>
      <c r="Y298" s="28"/>
    </row>
    <row r="299">
      <c r="N299" s="28"/>
      <c r="Q299" s="28"/>
      <c r="T299" s="28"/>
      <c r="V299" s="28"/>
      <c r="Y299" s="28"/>
    </row>
    <row r="300">
      <c r="N300" s="28"/>
      <c r="Q300" s="28"/>
      <c r="T300" s="28"/>
      <c r="V300" s="28"/>
      <c r="Y300" s="28"/>
    </row>
    <row r="301">
      <c r="N301" s="28"/>
      <c r="Q301" s="28"/>
      <c r="T301" s="28"/>
      <c r="V301" s="28"/>
      <c r="Y301" s="28"/>
    </row>
    <row r="302">
      <c r="N302" s="28"/>
      <c r="Q302" s="28"/>
      <c r="T302" s="28"/>
      <c r="V302" s="28"/>
      <c r="Y302" s="28"/>
    </row>
    <row r="303">
      <c r="N303" s="28"/>
      <c r="Q303" s="28"/>
      <c r="T303" s="28"/>
      <c r="V303" s="28"/>
      <c r="Y303" s="28"/>
    </row>
    <row r="304">
      <c r="N304" s="28"/>
      <c r="Q304" s="28"/>
      <c r="T304" s="28"/>
      <c r="V304" s="28"/>
      <c r="Y304" s="28"/>
    </row>
    <row r="305">
      <c r="N305" s="28"/>
      <c r="Q305" s="28"/>
      <c r="T305" s="28"/>
      <c r="V305" s="28"/>
      <c r="Y305" s="28"/>
    </row>
    <row r="306">
      <c r="N306" s="28"/>
      <c r="Q306" s="28"/>
      <c r="T306" s="28"/>
      <c r="V306" s="28"/>
      <c r="Y306" s="28"/>
    </row>
    <row r="307">
      <c r="N307" s="28"/>
      <c r="Q307" s="28"/>
      <c r="T307" s="28"/>
      <c r="V307" s="28"/>
      <c r="Y307" s="28"/>
    </row>
    <row r="308">
      <c r="N308" s="28"/>
      <c r="Q308" s="28"/>
      <c r="T308" s="28"/>
      <c r="V308" s="28"/>
      <c r="Y308" s="28"/>
    </row>
    <row r="309">
      <c r="N309" s="28"/>
      <c r="Q309" s="28"/>
      <c r="T309" s="28"/>
      <c r="V309" s="28"/>
      <c r="Y309" s="28"/>
    </row>
    <row r="310">
      <c r="N310" s="28"/>
      <c r="Q310" s="28"/>
      <c r="T310" s="28"/>
      <c r="V310" s="28"/>
      <c r="Y310" s="28"/>
    </row>
    <row r="311">
      <c r="N311" s="28"/>
      <c r="Q311" s="28"/>
      <c r="T311" s="28"/>
      <c r="V311" s="28"/>
      <c r="Y311" s="28"/>
    </row>
    <row r="312">
      <c r="N312" s="28"/>
      <c r="Q312" s="28"/>
      <c r="T312" s="28"/>
      <c r="V312" s="28"/>
      <c r="Y312" s="28"/>
    </row>
    <row r="313">
      <c r="N313" s="28"/>
      <c r="Q313" s="28"/>
      <c r="T313" s="28"/>
      <c r="V313" s="28"/>
      <c r="Y313" s="28"/>
    </row>
    <row r="314">
      <c r="N314" s="28"/>
      <c r="Q314" s="28"/>
      <c r="T314" s="28"/>
      <c r="V314" s="28"/>
      <c r="Y314" s="28"/>
    </row>
    <row r="315">
      <c r="N315" s="28"/>
      <c r="Q315" s="28"/>
      <c r="T315" s="28"/>
      <c r="V315" s="28"/>
      <c r="Y315" s="28"/>
    </row>
    <row r="316">
      <c r="N316" s="28"/>
      <c r="Q316" s="28"/>
      <c r="T316" s="28"/>
      <c r="V316" s="28"/>
      <c r="Y316" s="28"/>
    </row>
    <row r="317">
      <c r="N317" s="28"/>
      <c r="Q317" s="28"/>
      <c r="T317" s="28"/>
      <c r="V317" s="28"/>
      <c r="Y317" s="28"/>
    </row>
    <row r="318">
      <c r="N318" s="28"/>
      <c r="Q318" s="28"/>
      <c r="T318" s="28"/>
      <c r="V318" s="28"/>
      <c r="Y318" s="28"/>
    </row>
    <row r="319">
      <c r="N319" s="28"/>
      <c r="Q319" s="28"/>
      <c r="T319" s="28"/>
      <c r="V319" s="28"/>
      <c r="Y319" s="28"/>
    </row>
    <row r="320">
      <c r="N320" s="28"/>
      <c r="Q320" s="28"/>
      <c r="T320" s="28"/>
      <c r="V320" s="28"/>
      <c r="Y320" s="28"/>
    </row>
    <row r="321">
      <c r="N321" s="28"/>
      <c r="Q321" s="28"/>
      <c r="T321" s="28"/>
      <c r="V321" s="28"/>
      <c r="Y321" s="28"/>
    </row>
    <row r="322">
      <c r="N322" s="28"/>
      <c r="Q322" s="28"/>
      <c r="T322" s="28"/>
      <c r="V322" s="28"/>
      <c r="Y322" s="28"/>
    </row>
    <row r="323">
      <c r="N323" s="28"/>
      <c r="Q323" s="28"/>
      <c r="T323" s="28"/>
      <c r="V323" s="28"/>
      <c r="Y323" s="28"/>
    </row>
    <row r="324">
      <c r="N324" s="28"/>
      <c r="Q324" s="28"/>
      <c r="T324" s="28"/>
      <c r="V324" s="28"/>
      <c r="Y324" s="28"/>
    </row>
    <row r="325">
      <c r="N325" s="28"/>
      <c r="Q325" s="28"/>
      <c r="T325" s="28"/>
      <c r="V325" s="28"/>
      <c r="Y325" s="28"/>
    </row>
    <row r="326">
      <c r="N326" s="28"/>
      <c r="Q326" s="28"/>
      <c r="T326" s="28"/>
      <c r="V326" s="28"/>
      <c r="Y326" s="28"/>
    </row>
    <row r="327">
      <c r="N327" s="28"/>
      <c r="Q327" s="28"/>
      <c r="T327" s="28"/>
      <c r="V327" s="28"/>
      <c r="Y327" s="28"/>
    </row>
    <row r="328">
      <c r="N328" s="28"/>
      <c r="Q328" s="28"/>
      <c r="T328" s="28"/>
      <c r="V328" s="28"/>
      <c r="Y328" s="28"/>
    </row>
    <row r="329">
      <c r="N329" s="28"/>
      <c r="Q329" s="28"/>
      <c r="T329" s="28"/>
      <c r="V329" s="28"/>
      <c r="Y329" s="28"/>
    </row>
    <row r="330">
      <c r="N330" s="28"/>
      <c r="Q330" s="28"/>
      <c r="T330" s="28"/>
      <c r="V330" s="28"/>
      <c r="Y330" s="28"/>
    </row>
    <row r="331">
      <c r="N331" s="28"/>
      <c r="Q331" s="28"/>
      <c r="T331" s="28"/>
      <c r="V331" s="28"/>
      <c r="Y331" s="28"/>
    </row>
    <row r="332">
      <c r="N332" s="28"/>
      <c r="Q332" s="28"/>
      <c r="T332" s="28"/>
      <c r="V332" s="28"/>
      <c r="Y332" s="28"/>
    </row>
    <row r="333">
      <c r="N333" s="28"/>
      <c r="Q333" s="28"/>
      <c r="T333" s="28"/>
      <c r="V333" s="28"/>
      <c r="Y333" s="28"/>
    </row>
    <row r="334">
      <c r="N334" s="28"/>
      <c r="Q334" s="28"/>
      <c r="T334" s="28"/>
      <c r="V334" s="28"/>
      <c r="Y334" s="28"/>
    </row>
    <row r="335">
      <c r="N335" s="28"/>
      <c r="Q335" s="28"/>
      <c r="T335" s="28"/>
      <c r="V335" s="28"/>
      <c r="Y335" s="28"/>
    </row>
    <row r="336">
      <c r="N336" s="28"/>
      <c r="Q336" s="28"/>
      <c r="T336" s="28"/>
      <c r="V336" s="28"/>
      <c r="Y336" s="28"/>
    </row>
    <row r="337">
      <c r="N337" s="28"/>
      <c r="Q337" s="28"/>
      <c r="T337" s="28"/>
      <c r="V337" s="28"/>
      <c r="Y337" s="28"/>
    </row>
    <row r="338">
      <c r="N338" s="28"/>
      <c r="Q338" s="28"/>
      <c r="T338" s="28"/>
      <c r="V338" s="28"/>
      <c r="Y338" s="28"/>
    </row>
    <row r="339">
      <c r="N339" s="28"/>
      <c r="Q339" s="28"/>
      <c r="T339" s="28"/>
      <c r="V339" s="28"/>
      <c r="Y339" s="28"/>
    </row>
    <row r="340">
      <c r="N340" s="28"/>
      <c r="Q340" s="28"/>
      <c r="T340" s="28"/>
      <c r="V340" s="28"/>
      <c r="Y340" s="28"/>
    </row>
    <row r="341">
      <c r="N341" s="28"/>
      <c r="Q341" s="28"/>
      <c r="T341" s="28"/>
      <c r="V341" s="28"/>
      <c r="Y341" s="28"/>
    </row>
    <row r="342">
      <c r="N342" s="28"/>
      <c r="Q342" s="28"/>
      <c r="T342" s="28"/>
      <c r="V342" s="28"/>
      <c r="Y342" s="28"/>
    </row>
    <row r="343">
      <c r="N343" s="28"/>
      <c r="Q343" s="28"/>
      <c r="T343" s="28"/>
      <c r="V343" s="28"/>
      <c r="Y343" s="28"/>
    </row>
    <row r="344">
      <c r="N344" s="28"/>
      <c r="Q344" s="28"/>
      <c r="T344" s="28"/>
      <c r="V344" s="28"/>
      <c r="Y344" s="28"/>
    </row>
    <row r="345">
      <c r="N345" s="28"/>
      <c r="Q345" s="28"/>
      <c r="T345" s="28"/>
      <c r="V345" s="28"/>
      <c r="Y345" s="28"/>
    </row>
    <row r="346">
      <c r="N346" s="28"/>
      <c r="Q346" s="28"/>
      <c r="T346" s="28"/>
      <c r="V346" s="28"/>
      <c r="Y346" s="28"/>
    </row>
    <row r="347">
      <c r="N347" s="28"/>
      <c r="Q347" s="28"/>
      <c r="T347" s="28"/>
      <c r="V347" s="28"/>
      <c r="Y347" s="28"/>
    </row>
    <row r="348">
      <c r="N348" s="28"/>
      <c r="Q348" s="28"/>
      <c r="T348" s="28"/>
      <c r="V348" s="28"/>
      <c r="Y348" s="28"/>
    </row>
    <row r="349">
      <c r="N349" s="28"/>
      <c r="Q349" s="28"/>
      <c r="T349" s="28"/>
      <c r="V349" s="28"/>
      <c r="Y349" s="28"/>
    </row>
    <row r="350">
      <c r="N350" s="28"/>
      <c r="Q350" s="28"/>
      <c r="T350" s="28"/>
      <c r="V350" s="28"/>
      <c r="Y350" s="28"/>
    </row>
    <row r="351">
      <c r="N351" s="28"/>
      <c r="Q351" s="28"/>
      <c r="T351" s="28"/>
      <c r="V351" s="28"/>
      <c r="Y351" s="28"/>
    </row>
    <row r="352">
      <c r="N352" s="28"/>
      <c r="Q352" s="28"/>
      <c r="T352" s="28"/>
      <c r="V352" s="28"/>
      <c r="Y352" s="28"/>
    </row>
    <row r="353">
      <c r="N353" s="28"/>
      <c r="Q353" s="28"/>
      <c r="T353" s="28"/>
      <c r="V353" s="28"/>
      <c r="Y353" s="28"/>
    </row>
    <row r="354">
      <c r="N354" s="28"/>
      <c r="Q354" s="28"/>
      <c r="T354" s="28"/>
      <c r="V354" s="28"/>
      <c r="Y354" s="28"/>
    </row>
    <row r="355">
      <c r="N355" s="28"/>
      <c r="Q355" s="28"/>
      <c r="T355" s="28"/>
      <c r="V355" s="28"/>
      <c r="Y355" s="28"/>
    </row>
    <row r="356">
      <c r="N356" s="28"/>
      <c r="Q356" s="28"/>
      <c r="T356" s="28"/>
      <c r="V356" s="28"/>
      <c r="Y356" s="28"/>
    </row>
    <row r="357">
      <c r="N357" s="28"/>
      <c r="Q357" s="28"/>
      <c r="T357" s="28"/>
      <c r="V357" s="28"/>
      <c r="Y357" s="28"/>
    </row>
    <row r="358">
      <c r="N358" s="28"/>
      <c r="Q358" s="28"/>
      <c r="T358" s="28"/>
      <c r="V358" s="28"/>
      <c r="Y358" s="28"/>
    </row>
    <row r="359">
      <c r="N359" s="28"/>
      <c r="Q359" s="28"/>
      <c r="T359" s="28"/>
      <c r="V359" s="28"/>
      <c r="Y359" s="28"/>
    </row>
    <row r="360">
      <c r="N360" s="28"/>
      <c r="Q360" s="28"/>
      <c r="T360" s="28"/>
      <c r="V360" s="28"/>
      <c r="Y360" s="28"/>
    </row>
    <row r="361">
      <c r="N361" s="28"/>
      <c r="Q361" s="28"/>
      <c r="T361" s="28"/>
      <c r="V361" s="28"/>
      <c r="Y361" s="28"/>
    </row>
    <row r="362">
      <c r="N362" s="28"/>
      <c r="Q362" s="28"/>
      <c r="T362" s="28"/>
      <c r="V362" s="28"/>
      <c r="Y362" s="28"/>
    </row>
    <row r="363">
      <c r="N363" s="28"/>
      <c r="Q363" s="28"/>
      <c r="T363" s="28"/>
      <c r="V363" s="28"/>
      <c r="Y363" s="28"/>
    </row>
    <row r="364">
      <c r="N364" s="28"/>
      <c r="Q364" s="28"/>
      <c r="T364" s="28"/>
      <c r="V364" s="28"/>
      <c r="Y364" s="28"/>
    </row>
    <row r="365">
      <c r="N365" s="28"/>
      <c r="Q365" s="28"/>
      <c r="T365" s="28"/>
      <c r="V365" s="28"/>
      <c r="Y365" s="28"/>
    </row>
    <row r="366">
      <c r="N366" s="28"/>
      <c r="Q366" s="28"/>
      <c r="T366" s="28"/>
      <c r="V366" s="28"/>
      <c r="Y366" s="28"/>
    </row>
    <row r="367">
      <c r="N367" s="28"/>
      <c r="Q367" s="28"/>
      <c r="T367" s="28"/>
      <c r="V367" s="28"/>
      <c r="Y367" s="28"/>
    </row>
    <row r="368">
      <c r="N368" s="28"/>
      <c r="Q368" s="28"/>
      <c r="T368" s="28"/>
      <c r="V368" s="28"/>
      <c r="Y368" s="28"/>
    </row>
    <row r="369">
      <c r="N369" s="28"/>
      <c r="Q369" s="28"/>
      <c r="T369" s="28"/>
      <c r="V369" s="28"/>
      <c r="Y369" s="28"/>
    </row>
    <row r="370">
      <c r="N370" s="28"/>
      <c r="Q370" s="28"/>
      <c r="T370" s="28"/>
      <c r="V370" s="28"/>
      <c r="Y370" s="28"/>
    </row>
    <row r="371">
      <c r="N371" s="28"/>
      <c r="Q371" s="28"/>
      <c r="T371" s="28"/>
      <c r="V371" s="28"/>
      <c r="Y371" s="28"/>
    </row>
    <row r="372">
      <c r="N372" s="28"/>
      <c r="Q372" s="28"/>
      <c r="T372" s="28"/>
      <c r="V372" s="28"/>
      <c r="Y372" s="28"/>
    </row>
    <row r="373">
      <c r="N373" s="28"/>
      <c r="Q373" s="28"/>
      <c r="T373" s="28"/>
      <c r="V373" s="28"/>
      <c r="Y373" s="28"/>
    </row>
    <row r="374">
      <c r="N374" s="28"/>
      <c r="Q374" s="28"/>
      <c r="T374" s="28"/>
      <c r="V374" s="28"/>
      <c r="Y374" s="28"/>
    </row>
    <row r="375">
      <c r="N375" s="28"/>
      <c r="Q375" s="28"/>
      <c r="T375" s="28"/>
      <c r="V375" s="28"/>
      <c r="Y375" s="28"/>
    </row>
    <row r="376">
      <c r="N376" s="28"/>
      <c r="Q376" s="28"/>
      <c r="T376" s="28"/>
      <c r="V376" s="28"/>
      <c r="Y376" s="28"/>
    </row>
    <row r="377">
      <c r="N377" s="28"/>
      <c r="Q377" s="28"/>
      <c r="T377" s="28"/>
      <c r="V377" s="28"/>
      <c r="Y377" s="28"/>
    </row>
    <row r="378">
      <c r="N378" s="28"/>
      <c r="Q378" s="28"/>
      <c r="T378" s="28"/>
      <c r="V378" s="28"/>
      <c r="Y378" s="28"/>
    </row>
    <row r="379">
      <c r="N379" s="28"/>
      <c r="Q379" s="28"/>
      <c r="T379" s="28"/>
      <c r="V379" s="28"/>
      <c r="Y379" s="28"/>
    </row>
    <row r="380">
      <c r="N380" s="28"/>
      <c r="Q380" s="28"/>
      <c r="T380" s="28"/>
      <c r="V380" s="28"/>
      <c r="Y380" s="28"/>
    </row>
    <row r="381">
      <c r="N381" s="28"/>
      <c r="Q381" s="28"/>
      <c r="T381" s="28"/>
      <c r="V381" s="28"/>
      <c r="Y381" s="28"/>
    </row>
    <row r="382">
      <c r="N382" s="28"/>
      <c r="Q382" s="28"/>
      <c r="T382" s="28"/>
      <c r="V382" s="28"/>
      <c r="Y382" s="28"/>
    </row>
    <row r="383">
      <c r="N383" s="28"/>
      <c r="Q383" s="28"/>
      <c r="T383" s="28"/>
      <c r="V383" s="28"/>
      <c r="Y383" s="28"/>
    </row>
    <row r="384">
      <c r="N384" s="28"/>
      <c r="Q384" s="28"/>
      <c r="T384" s="28"/>
      <c r="V384" s="28"/>
      <c r="Y384" s="28"/>
    </row>
    <row r="385">
      <c r="N385" s="28"/>
      <c r="Q385" s="28"/>
      <c r="T385" s="28"/>
      <c r="V385" s="28"/>
      <c r="Y385" s="28"/>
    </row>
    <row r="386">
      <c r="N386" s="28"/>
      <c r="Q386" s="28"/>
      <c r="T386" s="28"/>
      <c r="V386" s="28"/>
      <c r="Y386" s="28"/>
    </row>
    <row r="387">
      <c r="N387" s="28"/>
      <c r="Q387" s="28"/>
      <c r="T387" s="28"/>
      <c r="V387" s="28"/>
      <c r="Y387" s="28"/>
    </row>
    <row r="388">
      <c r="N388" s="28"/>
      <c r="Q388" s="28"/>
      <c r="T388" s="28"/>
      <c r="V388" s="28"/>
      <c r="Y388" s="28"/>
    </row>
    <row r="389">
      <c r="N389" s="28"/>
      <c r="Q389" s="28"/>
      <c r="T389" s="28"/>
      <c r="V389" s="28"/>
      <c r="Y389" s="28"/>
    </row>
    <row r="390">
      <c r="N390" s="28"/>
      <c r="Q390" s="28"/>
      <c r="T390" s="28"/>
      <c r="V390" s="28"/>
      <c r="Y390" s="28"/>
    </row>
    <row r="391">
      <c r="N391" s="28"/>
      <c r="Q391" s="28"/>
      <c r="T391" s="28"/>
      <c r="V391" s="28"/>
      <c r="Y391" s="28"/>
    </row>
    <row r="392">
      <c r="N392" s="28"/>
      <c r="Q392" s="28"/>
      <c r="T392" s="28"/>
      <c r="V392" s="28"/>
      <c r="Y392" s="28"/>
    </row>
    <row r="393">
      <c r="N393" s="28"/>
      <c r="Q393" s="28"/>
      <c r="T393" s="28"/>
      <c r="V393" s="28"/>
      <c r="Y393" s="28"/>
    </row>
    <row r="394">
      <c r="N394" s="28"/>
      <c r="Q394" s="28"/>
      <c r="T394" s="28"/>
      <c r="V394" s="28"/>
      <c r="Y394" s="28"/>
    </row>
    <row r="395">
      <c r="N395" s="28"/>
      <c r="Q395" s="28"/>
      <c r="T395" s="28"/>
      <c r="V395" s="28"/>
      <c r="Y395" s="28"/>
    </row>
    <row r="396">
      <c r="N396" s="28"/>
      <c r="Q396" s="28"/>
      <c r="T396" s="28"/>
      <c r="V396" s="28"/>
      <c r="Y396" s="28"/>
    </row>
    <row r="397">
      <c r="N397" s="28"/>
      <c r="Q397" s="28"/>
      <c r="T397" s="28"/>
      <c r="V397" s="28"/>
      <c r="Y397" s="28"/>
    </row>
    <row r="398">
      <c r="N398" s="28"/>
      <c r="Q398" s="28"/>
      <c r="T398" s="28"/>
      <c r="V398" s="28"/>
      <c r="Y398" s="28"/>
    </row>
    <row r="399">
      <c r="N399" s="28"/>
      <c r="Q399" s="28"/>
      <c r="T399" s="28"/>
      <c r="V399" s="28"/>
      <c r="Y399" s="28"/>
    </row>
    <row r="400">
      <c r="N400" s="28"/>
      <c r="Q400" s="28"/>
      <c r="T400" s="28"/>
      <c r="V400" s="28"/>
      <c r="Y400" s="28"/>
    </row>
    <row r="401">
      <c r="N401" s="28"/>
      <c r="Q401" s="28"/>
      <c r="T401" s="28"/>
      <c r="V401" s="28"/>
      <c r="Y401" s="28"/>
    </row>
    <row r="402">
      <c r="N402" s="28"/>
      <c r="Q402" s="28"/>
      <c r="T402" s="28"/>
      <c r="V402" s="28"/>
      <c r="Y402" s="28"/>
    </row>
    <row r="403">
      <c r="N403" s="28"/>
      <c r="Q403" s="28"/>
      <c r="T403" s="28"/>
      <c r="V403" s="28"/>
      <c r="Y403" s="28"/>
    </row>
    <row r="404">
      <c r="N404" s="28"/>
      <c r="Q404" s="28"/>
      <c r="T404" s="28"/>
      <c r="V404" s="28"/>
      <c r="Y404" s="28"/>
    </row>
    <row r="405">
      <c r="N405" s="28"/>
      <c r="Q405" s="28"/>
      <c r="T405" s="28"/>
      <c r="V405" s="28"/>
      <c r="Y405" s="28"/>
    </row>
    <row r="406">
      <c r="N406" s="28"/>
      <c r="Q406" s="28"/>
      <c r="T406" s="28"/>
      <c r="V406" s="28"/>
      <c r="Y406" s="28"/>
    </row>
    <row r="407">
      <c r="N407" s="28"/>
      <c r="Q407" s="28"/>
      <c r="T407" s="28"/>
      <c r="V407" s="28"/>
      <c r="Y407" s="28"/>
    </row>
    <row r="408">
      <c r="N408" s="28"/>
      <c r="Q408" s="28"/>
      <c r="T408" s="28"/>
      <c r="V408" s="28"/>
      <c r="Y408" s="28"/>
    </row>
    <row r="409">
      <c r="N409" s="28"/>
      <c r="Q409" s="28"/>
      <c r="T409" s="28"/>
      <c r="V409" s="28"/>
      <c r="Y409" s="28"/>
    </row>
    <row r="410">
      <c r="N410" s="28"/>
      <c r="Q410" s="28"/>
      <c r="T410" s="28"/>
      <c r="V410" s="28"/>
      <c r="Y410" s="28"/>
    </row>
    <row r="411">
      <c r="N411" s="28"/>
      <c r="Q411" s="28"/>
      <c r="T411" s="28"/>
      <c r="V411" s="28"/>
      <c r="Y411" s="28"/>
    </row>
    <row r="412">
      <c r="N412" s="28"/>
      <c r="Q412" s="28"/>
      <c r="T412" s="28"/>
      <c r="V412" s="28"/>
      <c r="Y412" s="28"/>
    </row>
    <row r="413">
      <c r="N413" s="28"/>
      <c r="Q413" s="28"/>
      <c r="T413" s="28"/>
      <c r="V413" s="28"/>
      <c r="Y413" s="28"/>
    </row>
    <row r="414">
      <c r="N414" s="28"/>
      <c r="Q414" s="28"/>
      <c r="T414" s="28"/>
      <c r="V414" s="28"/>
      <c r="Y414" s="28"/>
    </row>
    <row r="415">
      <c r="N415" s="28"/>
      <c r="Q415" s="28"/>
      <c r="T415" s="28"/>
      <c r="V415" s="28"/>
      <c r="Y415" s="28"/>
    </row>
    <row r="416">
      <c r="N416" s="28"/>
      <c r="Q416" s="28"/>
      <c r="T416" s="28"/>
      <c r="V416" s="28"/>
      <c r="Y416" s="28"/>
    </row>
    <row r="417">
      <c r="N417" s="28"/>
      <c r="Q417" s="28"/>
      <c r="T417" s="28"/>
      <c r="V417" s="28"/>
      <c r="Y417" s="28"/>
    </row>
    <row r="418">
      <c r="N418" s="28"/>
      <c r="Q418" s="28"/>
      <c r="T418" s="28"/>
      <c r="V418" s="28"/>
      <c r="Y418" s="28"/>
    </row>
    <row r="419">
      <c r="N419" s="28"/>
      <c r="Q419" s="28"/>
      <c r="T419" s="28"/>
      <c r="V419" s="28"/>
      <c r="Y419" s="28"/>
    </row>
    <row r="420">
      <c r="N420" s="28"/>
      <c r="Q420" s="28"/>
      <c r="T420" s="28"/>
      <c r="V420" s="28"/>
      <c r="Y420" s="28"/>
    </row>
    <row r="421">
      <c r="N421" s="28"/>
      <c r="Q421" s="28"/>
      <c r="T421" s="28"/>
      <c r="V421" s="28"/>
      <c r="Y421" s="28"/>
    </row>
    <row r="422">
      <c r="N422" s="28"/>
      <c r="Q422" s="28"/>
      <c r="T422" s="28"/>
      <c r="V422" s="28"/>
      <c r="Y422" s="28"/>
    </row>
    <row r="423">
      <c r="N423" s="28"/>
      <c r="Q423" s="28"/>
      <c r="T423" s="28"/>
      <c r="V423" s="28"/>
      <c r="Y423" s="28"/>
    </row>
    <row r="424">
      <c r="N424" s="28"/>
      <c r="Q424" s="28"/>
      <c r="T424" s="28"/>
      <c r="V424" s="28"/>
      <c r="Y424" s="28"/>
    </row>
    <row r="425">
      <c r="N425" s="28"/>
      <c r="Q425" s="28"/>
      <c r="T425" s="28"/>
      <c r="V425" s="28"/>
      <c r="Y425" s="28"/>
    </row>
    <row r="426">
      <c r="N426" s="28"/>
      <c r="Q426" s="28"/>
      <c r="T426" s="28"/>
      <c r="V426" s="28"/>
      <c r="Y426" s="28"/>
    </row>
    <row r="427">
      <c r="N427" s="28"/>
      <c r="Q427" s="28"/>
      <c r="T427" s="28"/>
      <c r="V427" s="28"/>
      <c r="Y427" s="28"/>
    </row>
    <row r="428">
      <c r="N428" s="28"/>
      <c r="Q428" s="28"/>
      <c r="T428" s="28"/>
      <c r="V428" s="28"/>
      <c r="Y428" s="28"/>
    </row>
    <row r="429">
      <c r="N429" s="28"/>
      <c r="Q429" s="28"/>
      <c r="T429" s="28"/>
      <c r="V429" s="28"/>
      <c r="Y429" s="28"/>
    </row>
    <row r="430">
      <c r="N430" s="28"/>
      <c r="Q430" s="28"/>
      <c r="T430" s="28"/>
      <c r="V430" s="28"/>
      <c r="Y430" s="28"/>
    </row>
    <row r="431">
      <c r="N431" s="28"/>
      <c r="Q431" s="28"/>
      <c r="T431" s="28"/>
      <c r="V431" s="28"/>
      <c r="Y431" s="28"/>
    </row>
    <row r="432">
      <c r="N432" s="28"/>
      <c r="Q432" s="28"/>
      <c r="T432" s="28"/>
      <c r="V432" s="28"/>
      <c r="Y432" s="28"/>
    </row>
    <row r="433">
      <c r="N433" s="28"/>
      <c r="Q433" s="28"/>
      <c r="T433" s="28"/>
      <c r="V433" s="28"/>
      <c r="Y433" s="28"/>
    </row>
    <row r="434">
      <c r="N434" s="28"/>
      <c r="Q434" s="28"/>
      <c r="T434" s="28"/>
      <c r="V434" s="28"/>
      <c r="Y434" s="28"/>
    </row>
    <row r="435">
      <c r="N435" s="28"/>
      <c r="Q435" s="28"/>
      <c r="T435" s="28"/>
      <c r="V435" s="28"/>
      <c r="Y435" s="28"/>
    </row>
    <row r="436">
      <c r="N436" s="28"/>
      <c r="Q436" s="28"/>
      <c r="T436" s="28"/>
      <c r="V436" s="28"/>
      <c r="Y436" s="28"/>
    </row>
    <row r="437">
      <c r="N437" s="28"/>
      <c r="Q437" s="28"/>
      <c r="T437" s="28"/>
      <c r="V437" s="28"/>
      <c r="Y437" s="28"/>
    </row>
    <row r="438">
      <c r="N438" s="28"/>
      <c r="Q438" s="28"/>
      <c r="T438" s="28"/>
      <c r="V438" s="28"/>
      <c r="Y438" s="28"/>
    </row>
    <row r="439">
      <c r="N439" s="28"/>
      <c r="Q439" s="28"/>
      <c r="T439" s="28"/>
      <c r="V439" s="28"/>
      <c r="Y439" s="28"/>
    </row>
    <row r="440">
      <c r="N440" s="28"/>
      <c r="Q440" s="28"/>
      <c r="T440" s="28"/>
      <c r="V440" s="28"/>
      <c r="Y440" s="28"/>
    </row>
    <row r="441">
      <c r="N441" s="28"/>
      <c r="Q441" s="28"/>
      <c r="T441" s="28"/>
      <c r="V441" s="28"/>
      <c r="Y441" s="28"/>
    </row>
    <row r="442">
      <c r="N442" s="28"/>
      <c r="Q442" s="28"/>
      <c r="T442" s="28"/>
      <c r="V442" s="28"/>
      <c r="Y442" s="28"/>
    </row>
    <row r="443">
      <c r="N443" s="28"/>
      <c r="Q443" s="28"/>
      <c r="T443" s="28"/>
      <c r="V443" s="28"/>
      <c r="Y443" s="28"/>
    </row>
    <row r="444">
      <c r="N444" s="28"/>
      <c r="Q444" s="28"/>
      <c r="T444" s="28"/>
      <c r="V444" s="28"/>
      <c r="Y444" s="28"/>
    </row>
    <row r="445">
      <c r="N445" s="28"/>
      <c r="Q445" s="28"/>
      <c r="T445" s="28"/>
      <c r="V445" s="28"/>
      <c r="Y445" s="28"/>
    </row>
    <row r="446">
      <c r="N446" s="28"/>
      <c r="Q446" s="28"/>
      <c r="T446" s="28"/>
      <c r="V446" s="28"/>
      <c r="Y446" s="28"/>
    </row>
    <row r="447">
      <c r="N447" s="28"/>
      <c r="Q447" s="28"/>
      <c r="T447" s="28"/>
      <c r="V447" s="28"/>
      <c r="Y447" s="28"/>
    </row>
    <row r="448">
      <c r="N448" s="28"/>
      <c r="Q448" s="28"/>
      <c r="T448" s="28"/>
      <c r="V448" s="28"/>
      <c r="Y448" s="28"/>
    </row>
    <row r="449">
      <c r="N449" s="28"/>
      <c r="Q449" s="28"/>
      <c r="T449" s="28"/>
      <c r="V449" s="28"/>
      <c r="Y449" s="28"/>
    </row>
    <row r="450">
      <c r="N450" s="28"/>
      <c r="Q450" s="28"/>
      <c r="T450" s="28"/>
      <c r="V450" s="28"/>
      <c r="Y450" s="28"/>
    </row>
    <row r="451">
      <c r="N451" s="28"/>
      <c r="Q451" s="28"/>
      <c r="T451" s="28"/>
      <c r="V451" s="28"/>
      <c r="Y451" s="28"/>
    </row>
    <row r="452">
      <c r="N452" s="28"/>
      <c r="Q452" s="28"/>
      <c r="T452" s="28"/>
      <c r="V452" s="28"/>
      <c r="Y452" s="28"/>
    </row>
    <row r="453">
      <c r="N453" s="28"/>
      <c r="Q453" s="28"/>
      <c r="T453" s="28"/>
      <c r="V453" s="28"/>
      <c r="Y453" s="28"/>
    </row>
    <row r="454">
      <c r="N454" s="28"/>
      <c r="Q454" s="28"/>
      <c r="T454" s="28"/>
      <c r="V454" s="28"/>
      <c r="Y454" s="28"/>
    </row>
    <row r="455">
      <c r="N455" s="28"/>
      <c r="Q455" s="28"/>
      <c r="T455" s="28"/>
      <c r="V455" s="28"/>
      <c r="Y455" s="28"/>
    </row>
    <row r="456">
      <c r="N456" s="28"/>
      <c r="Q456" s="28"/>
      <c r="T456" s="28"/>
      <c r="V456" s="28"/>
      <c r="Y456" s="28"/>
    </row>
    <row r="457">
      <c r="N457" s="28"/>
      <c r="Q457" s="28"/>
      <c r="T457" s="28"/>
      <c r="V457" s="28"/>
      <c r="Y457" s="28"/>
    </row>
    <row r="458">
      <c r="N458" s="28"/>
      <c r="Q458" s="28"/>
      <c r="T458" s="28"/>
      <c r="V458" s="28"/>
      <c r="Y458" s="28"/>
    </row>
    <row r="459">
      <c r="N459" s="28"/>
      <c r="Q459" s="28"/>
      <c r="T459" s="28"/>
      <c r="V459" s="28"/>
      <c r="Y459" s="28"/>
    </row>
    <row r="460">
      <c r="N460" s="28"/>
      <c r="Q460" s="28"/>
      <c r="T460" s="28"/>
      <c r="V460" s="28"/>
      <c r="Y460" s="28"/>
    </row>
    <row r="461">
      <c r="N461" s="28"/>
      <c r="Q461" s="28"/>
      <c r="T461" s="28"/>
      <c r="V461" s="28"/>
      <c r="Y461" s="28"/>
    </row>
    <row r="462">
      <c r="N462" s="28"/>
      <c r="Q462" s="28"/>
      <c r="T462" s="28"/>
      <c r="V462" s="28"/>
      <c r="Y462" s="28"/>
    </row>
    <row r="463">
      <c r="N463" s="28"/>
      <c r="Q463" s="28"/>
      <c r="T463" s="28"/>
      <c r="V463" s="28"/>
      <c r="Y463" s="28"/>
    </row>
    <row r="464">
      <c r="N464" s="28"/>
      <c r="Q464" s="28"/>
      <c r="T464" s="28"/>
      <c r="V464" s="28"/>
      <c r="Y464" s="28"/>
    </row>
    <row r="465">
      <c r="N465" s="28"/>
      <c r="Q465" s="28"/>
      <c r="T465" s="28"/>
      <c r="V465" s="28"/>
      <c r="Y465" s="28"/>
    </row>
    <row r="466">
      <c r="N466" s="28"/>
      <c r="Q466" s="28"/>
      <c r="T466" s="28"/>
      <c r="V466" s="28"/>
      <c r="Y466" s="28"/>
    </row>
    <row r="467">
      <c r="N467" s="28"/>
      <c r="Q467" s="28"/>
      <c r="T467" s="28"/>
      <c r="V467" s="28"/>
      <c r="Y467" s="28"/>
    </row>
    <row r="468">
      <c r="N468" s="28"/>
      <c r="Q468" s="28"/>
      <c r="T468" s="28"/>
      <c r="V468" s="28"/>
      <c r="Y468" s="28"/>
    </row>
    <row r="469">
      <c r="N469" s="28"/>
      <c r="Q469" s="28"/>
      <c r="T469" s="28"/>
      <c r="V469" s="28"/>
      <c r="Y469" s="28"/>
    </row>
    <row r="470">
      <c r="N470" s="28"/>
      <c r="Q470" s="28"/>
      <c r="T470" s="28"/>
      <c r="V470" s="28"/>
      <c r="Y470" s="28"/>
    </row>
    <row r="471">
      <c r="N471" s="28"/>
      <c r="Q471" s="28"/>
      <c r="T471" s="28"/>
      <c r="V471" s="28"/>
      <c r="Y471" s="28"/>
    </row>
    <row r="472">
      <c r="N472" s="28"/>
      <c r="Q472" s="28"/>
      <c r="T472" s="28"/>
      <c r="V472" s="28"/>
      <c r="Y472" s="28"/>
    </row>
    <row r="473">
      <c r="N473" s="28"/>
      <c r="Q473" s="28"/>
      <c r="T473" s="28"/>
      <c r="V473" s="28"/>
      <c r="Y473" s="28"/>
    </row>
    <row r="474">
      <c r="N474" s="28"/>
      <c r="Q474" s="28"/>
      <c r="T474" s="28"/>
      <c r="V474" s="28"/>
      <c r="Y474" s="28"/>
    </row>
    <row r="475">
      <c r="N475" s="28"/>
      <c r="Q475" s="28"/>
      <c r="T475" s="28"/>
      <c r="V475" s="28"/>
      <c r="Y475" s="28"/>
    </row>
    <row r="476">
      <c r="N476" s="28"/>
      <c r="Q476" s="28"/>
      <c r="T476" s="28"/>
      <c r="V476" s="28"/>
      <c r="Y476" s="28"/>
    </row>
    <row r="477">
      <c r="N477" s="28"/>
      <c r="Q477" s="28"/>
      <c r="T477" s="28"/>
      <c r="V477" s="28"/>
      <c r="Y477" s="28"/>
    </row>
    <row r="478">
      <c r="N478" s="28"/>
      <c r="Q478" s="28"/>
      <c r="T478" s="28"/>
      <c r="V478" s="28"/>
      <c r="Y478" s="28"/>
    </row>
    <row r="479">
      <c r="N479" s="28"/>
      <c r="Q479" s="28"/>
      <c r="T479" s="28"/>
      <c r="V479" s="28"/>
      <c r="Y479" s="28"/>
    </row>
    <row r="480">
      <c r="N480" s="28"/>
      <c r="Q480" s="28"/>
      <c r="T480" s="28"/>
      <c r="V480" s="28"/>
      <c r="Y480" s="28"/>
    </row>
    <row r="481">
      <c r="N481" s="28"/>
      <c r="Q481" s="28"/>
      <c r="T481" s="28"/>
      <c r="V481" s="28"/>
      <c r="Y481" s="28"/>
    </row>
    <row r="482">
      <c r="N482" s="28"/>
      <c r="Q482" s="28"/>
      <c r="T482" s="28"/>
      <c r="V482" s="28"/>
      <c r="Y482" s="28"/>
    </row>
    <row r="483">
      <c r="N483" s="28"/>
      <c r="Q483" s="28"/>
      <c r="T483" s="28"/>
      <c r="V483" s="28"/>
      <c r="Y483" s="28"/>
    </row>
    <row r="484">
      <c r="N484" s="28"/>
      <c r="Q484" s="28"/>
      <c r="T484" s="28"/>
      <c r="V484" s="28"/>
      <c r="Y484" s="28"/>
    </row>
    <row r="485">
      <c r="N485" s="28"/>
      <c r="Q485" s="28"/>
      <c r="T485" s="28"/>
      <c r="V485" s="28"/>
      <c r="Y485" s="28"/>
    </row>
    <row r="486">
      <c r="N486" s="28"/>
      <c r="Q486" s="28"/>
      <c r="T486" s="28"/>
      <c r="V486" s="28"/>
      <c r="Y486" s="28"/>
    </row>
    <row r="487">
      <c r="N487" s="28"/>
      <c r="Q487" s="28"/>
      <c r="T487" s="28"/>
      <c r="V487" s="28"/>
      <c r="Y487" s="28"/>
    </row>
    <row r="488">
      <c r="N488" s="28"/>
      <c r="Q488" s="28"/>
      <c r="T488" s="28"/>
      <c r="V488" s="28"/>
      <c r="Y488" s="28"/>
    </row>
    <row r="489">
      <c r="N489" s="28"/>
      <c r="Q489" s="28"/>
      <c r="T489" s="28"/>
      <c r="V489" s="28"/>
      <c r="Y489" s="28"/>
    </row>
    <row r="490">
      <c r="N490" s="28"/>
      <c r="Q490" s="28"/>
      <c r="T490" s="28"/>
      <c r="V490" s="28"/>
      <c r="Y490" s="28"/>
    </row>
    <row r="491">
      <c r="N491" s="28"/>
      <c r="Q491" s="28"/>
      <c r="T491" s="28"/>
      <c r="V491" s="28"/>
      <c r="Y491" s="28"/>
    </row>
    <row r="492">
      <c r="N492" s="28"/>
      <c r="Q492" s="28"/>
      <c r="T492" s="28"/>
      <c r="V492" s="28"/>
      <c r="Y492" s="28"/>
    </row>
    <row r="493">
      <c r="N493" s="28"/>
      <c r="Q493" s="28"/>
      <c r="T493" s="28"/>
      <c r="V493" s="28"/>
      <c r="Y493" s="28"/>
    </row>
    <row r="494">
      <c r="N494" s="28"/>
      <c r="Q494" s="28"/>
      <c r="T494" s="28"/>
      <c r="V494" s="28"/>
      <c r="Y494" s="28"/>
    </row>
    <row r="495">
      <c r="N495" s="28"/>
      <c r="Q495" s="28"/>
      <c r="T495" s="28"/>
      <c r="V495" s="28"/>
      <c r="Y495" s="28"/>
    </row>
    <row r="496">
      <c r="N496" s="28"/>
      <c r="Q496" s="28"/>
      <c r="T496" s="28"/>
      <c r="V496" s="28"/>
      <c r="Y496" s="28"/>
    </row>
    <row r="497">
      <c r="N497" s="28"/>
      <c r="Q497" s="28"/>
      <c r="T497" s="28"/>
      <c r="V497" s="28"/>
      <c r="Y497" s="28"/>
    </row>
    <row r="498">
      <c r="N498" s="28"/>
      <c r="Q498" s="28"/>
      <c r="T498" s="28"/>
      <c r="V498" s="28"/>
      <c r="Y498" s="28"/>
    </row>
    <row r="499">
      <c r="N499" s="28"/>
      <c r="Q499" s="28"/>
      <c r="T499" s="28"/>
      <c r="V499" s="28"/>
      <c r="Y499" s="28"/>
    </row>
    <row r="500">
      <c r="N500" s="28"/>
      <c r="Q500" s="28"/>
      <c r="T500" s="28"/>
      <c r="V500" s="28"/>
      <c r="Y500" s="28"/>
    </row>
    <row r="501">
      <c r="N501" s="28"/>
      <c r="Q501" s="28"/>
      <c r="T501" s="28"/>
      <c r="V501" s="28"/>
      <c r="Y501" s="28"/>
    </row>
    <row r="502">
      <c r="N502" s="28"/>
      <c r="Q502" s="28"/>
      <c r="T502" s="28"/>
      <c r="V502" s="28"/>
      <c r="Y502" s="28"/>
    </row>
    <row r="503">
      <c r="N503" s="28"/>
      <c r="Q503" s="28"/>
      <c r="T503" s="28"/>
      <c r="V503" s="28"/>
      <c r="Y503" s="28"/>
    </row>
    <row r="504">
      <c r="N504" s="28"/>
      <c r="Q504" s="28"/>
      <c r="T504" s="28"/>
      <c r="V504" s="28"/>
      <c r="Y504" s="28"/>
    </row>
    <row r="505">
      <c r="N505" s="28"/>
      <c r="Q505" s="28"/>
      <c r="T505" s="28"/>
      <c r="V505" s="28"/>
      <c r="Y505" s="28"/>
    </row>
    <row r="506">
      <c r="N506" s="28"/>
      <c r="Q506" s="28"/>
      <c r="T506" s="28"/>
      <c r="V506" s="28"/>
      <c r="Y506" s="28"/>
    </row>
    <row r="507">
      <c r="N507" s="28"/>
      <c r="Q507" s="28"/>
      <c r="T507" s="28"/>
      <c r="V507" s="28"/>
      <c r="Y507" s="28"/>
    </row>
    <row r="508">
      <c r="N508" s="28"/>
      <c r="Q508" s="28"/>
      <c r="T508" s="28"/>
      <c r="V508" s="28"/>
      <c r="Y508" s="28"/>
    </row>
    <row r="509">
      <c r="N509" s="28"/>
      <c r="Q509" s="28"/>
      <c r="T509" s="28"/>
      <c r="V509" s="28"/>
      <c r="Y509" s="28"/>
    </row>
    <row r="510">
      <c r="N510" s="28"/>
      <c r="Q510" s="28"/>
      <c r="T510" s="28"/>
      <c r="V510" s="28"/>
      <c r="Y510" s="28"/>
    </row>
    <row r="511">
      <c r="N511" s="28"/>
      <c r="Q511" s="28"/>
      <c r="T511" s="28"/>
      <c r="V511" s="28"/>
      <c r="Y511" s="28"/>
    </row>
    <row r="512">
      <c r="N512" s="28"/>
      <c r="Q512" s="28"/>
      <c r="T512" s="28"/>
      <c r="V512" s="28"/>
      <c r="Y512" s="28"/>
    </row>
    <row r="513">
      <c r="N513" s="28"/>
      <c r="Q513" s="28"/>
      <c r="T513" s="28"/>
      <c r="V513" s="28"/>
      <c r="Y513" s="28"/>
    </row>
    <row r="514">
      <c r="N514" s="28"/>
      <c r="Q514" s="28"/>
      <c r="T514" s="28"/>
      <c r="V514" s="28"/>
      <c r="Y514" s="28"/>
    </row>
    <row r="515">
      <c r="N515" s="28"/>
      <c r="Q515" s="28"/>
      <c r="T515" s="28"/>
      <c r="V515" s="28"/>
      <c r="Y515" s="28"/>
    </row>
    <row r="516">
      <c r="N516" s="28"/>
      <c r="Q516" s="28"/>
      <c r="T516" s="28"/>
      <c r="V516" s="28"/>
      <c r="Y516" s="28"/>
    </row>
    <row r="517">
      <c r="N517" s="28"/>
      <c r="Q517" s="28"/>
      <c r="T517" s="28"/>
      <c r="V517" s="28"/>
      <c r="Y517" s="28"/>
    </row>
    <row r="518">
      <c r="N518" s="28"/>
      <c r="Q518" s="28"/>
      <c r="T518" s="28"/>
      <c r="V518" s="28"/>
      <c r="Y518" s="28"/>
    </row>
    <row r="519">
      <c r="N519" s="28"/>
      <c r="Q519" s="28"/>
      <c r="T519" s="28"/>
      <c r="V519" s="28"/>
      <c r="Y519" s="28"/>
    </row>
    <row r="520">
      <c r="N520" s="28"/>
      <c r="Q520" s="28"/>
      <c r="T520" s="28"/>
      <c r="V520" s="28"/>
      <c r="Y520" s="28"/>
    </row>
    <row r="521">
      <c r="N521" s="28"/>
      <c r="Q521" s="28"/>
      <c r="T521" s="28"/>
      <c r="V521" s="28"/>
      <c r="Y521" s="28"/>
    </row>
    <row r="522">
      <c r="N522" s="28"/>
      <c r="Q522" s="28"/>
      <c r="T522" s="28"/>
      <c r="V522" s="28"/>
      <c r="Y522" s="28"/>
    </row>
    <row r="523">
      <c r="N523" s="28"/>
      <c r="Q523" s="28"/>
      <c r="T523" s="28"/>
      <c r="V523" s="28"/>
      <c r="Y523" s="28"/>
    </row>
    <row r="524">
      <c r="N524" s="28"/>
      <c r="Q524" s="28"/>
      <c r="T524" s="28"/>
      <c r="V524" s="28"/>
      <c r="Y524" s="28"/>
    </row>
    <row r="525">
      <c r="N525" s="28"/>
      <c r="Q525" s="28"/>
      <c r="T525" s="28"/>
      <c r="V525" s="28"/>
      <c r="Y525" s="28"/>
    </row>
    <row r="526">
      <c r="N526" s="28"/>
      <c r="Q526" s="28"/>
      <c r="T526" s="28"/>
      <c r="V526" s="28"/>
      <c r="Y526" s="28"/>
    </row>
    <row r="527">
      <c r="N527" s="28"/>
      <c r="Q527" s="28"/>
      <c r="T527" s="28"/>
      <c r="V527" s="28"/>
      <c r="Y527" s="28"/>
    </row>
    <row r="528">
      <c r="N528" s="28"/>
      <c r="Q528" s="28"/>
      <c r="T528" s="28"/>
      <c r="V528" s="28"/>
      <c r="Y528" s="28"/>
    </row>
    <row r="529">
      <c r="N529" s="28"/>
      <c r="Q529" s="28"/>
      <c r="T529" s="28"/>
      <c r="V529" s="28"/>
      <c r="Y529" s="28"/>
    </row>
    <row r="530">
      <c r="N530" s="28"/>
      <c r="Q530" s="28"/>
      <c r="T530" s="28"/>
      <c r="V530" s="28"/>
      <c r="Y530" s="28"/>
    </row>
    <row r="531">
      <c r="N531" s="28"/>
      <c r="Q531" s="28"/>
      <c r="T531" s="28"/>
      <c r="V531" s="28"/>
      <c r="Y531" s="28"/>
    </row>
    <row r="532">
      <c r="N532" s="28"/>
      <c r="Q532" s="28"/>
      <c r="T532" s="28"/>
      <c r="V532" s="28"/>
      <c r="Y532" s="28"/>
    </row>
    <row r="533">
      <c r="N533" s="28"/>
      <c r="Q533" s="28"/>
      <c r="T533" s="28"/>
      <c r="V533" s="28"/>
      <c r="Y533" s="28"/>
    </row>
    <row r="534">
      <c r="N534" s="28"/>
      <c r="Q534" s="28"/>
      <c r="T534" s="28"/>
      <c r="V534" s="28"/>
      <c r="Y534" s="28"/>
    </row>
    <row r="535">
      <c r="N535" s="28"/>
      <c r="Q535" s="28"/>
      <c r="T535" s="28"/>
      <c r="V535" s="28"/>
      <c r="Y535" s="28"/>
    </row>
    <row r="536">
      <c r="N536" s="28"/>
      <c r="Q536" s="28"/>
      <c r="T536" s="28"/>
      <c r="V536" s="28"/>
      <c r="Y536" s="28"/>
    </row>
    <row r="537">
      <c r="N537" s="28"/>
      <c r="Q537" s="28"/>
      <c r="T537" s="28"/>
      <c r="V537" s="28"/>
      <c r="Y537" s="28"/>
    </row>
    <row r="538">
      <c r="N538" s="28"/>
      <c r="Q538" s="28"/>
      <c r="T538" s="28"/>
      <c r="V538" s="28"/>
      <c r="Y538" s="28"/>
    </row>
    <row r="539">
      <c r="N539" s="28"/>
      <c r="Q539" s="28"/>
      <c r="T539" s="28"/>
      <c r="V539" s="28"/>
      <c r="Y539" s="28"/>
    </row>
    <row r="540">
      <c r="N540" s="28"/>
      <c r="Q540" s="28"/>
      <c r="T540" s="28"/>
      <c r="V540" s="28"/>
      <c r="Y540" s="28"/>
    </row>
    <row r="541">
      <c r="N541" s="28"/>
      <c r="Q541" s="28"/>
      <c r="T541" s="28"/>
      <c r="V541" s="28"/>
      <c r="Y541" s="28"/>
    </row>
    <row r="542">
      <c r="N542" s="28"/>
      <c r="Q542" s="28"/>
      <c r="T542" s="28"/>
      <c r="V542" s="28"/>
      <c r="Y542" s="28"/>
    </row>
    <row r="543">
      <c r="N543" s="28"/>
      <c r="Q543" s="28"/>
      <c r="T543" s="28"/>
      <c r="V543" s="28"/>
      <c r="Y543" s="28"/>
    </row>
    <row r="544">
      <c r="N544" s="28"/>
      <c r="Q544" s="28"/>
      <c r="T544" s="28"/>
      <c r="V544" s="28"/>
      <c r="Y544" s="28"/>
    </row>
    <row r="545">
      <c r="N545" s="28"/>
      <c r="Q545" s="28"/>
      <c r="T545" s="28"/>
      <c r="V545" s="28"/>
      <c r="Y545" s="28"/>
    </row>
    <row r="546">
      <c r="N546" s="28"/>
      <c r="Q546" s="28"/>
      <c r="T546" s="28"/>
      <c r="V546" s="28"/>
      <c r="Y546" s="28"/>
    </row>
    <row r="547">
      <c r="N547" s="28"/>
      <c r="Q547" s="28"/>
      <c r="T547" s="28"/>
      <c r="V547" s="28"/>
      <c r="Y547" s="28"/>
    </row>
    <row r="548">
      <c r="N548" s="28"/>
      <c r="Q548" s="28"/>
      <c r="T548" s="28"/>
      <c r="V548" s="28"/>
      <c r="Y548" s="28"/>
    </row>
    <row r="549">
      <c r="N549" s="28"/>
      <c r="Q549" s="28"/>
      <c r="T549" s="28"/>
      <c r="V549" s="28"/>
      <c r="Y549" s="28"/>
    </row>
    <row r="550">
      <c r="N550" s="28"/>
      <c r="Q550" s="28"/>
      <c r="T550" s="28"/>
      <c r="V550" s="28"/>
      <c r="Y550" s="28"/>
    </row>
    <row r="551">
      <c r="N551" s="28"/>
      <c r="Q551" s="28"/>
      <c r="T551" s="28"/>
      <c r="V551" s="28"/>
      <c r="Y551" s="28"/>
    </row>
    <row r="552">
      <c r="N552" s="28"/>
      <c r="Q552" s="28"/>
      <c r="T552" s="28"/>
      <c r="V552" s="28"/>
      <c r="Y552" s="28"/>
    </row>
    <row r="553">
      <c r="N553" s="28"/>
      <c r="Q553" s="28"/>
      <c r="T553" s="28"/>
      <c r="V553" s="28"/>
      <c r="Y553" s="28"/>
    </row>
    <row r="554">
      <c r="N554" s="28"/>
      <c r="Q554" s="28"/>
      <c r="T554" s="28"/>
      <c r="V554" s="28"/>
      <c r="Y554" s="28"/>
    </row>
    <row r="555">
      <c r="N555" s="28"/>
      <c r="Q555" s="28"/>
      <c r="T555" s="28"/>
      <c r="V555" s="28"/>
      <c r="Y555" s="28"/>
    </row>
    <row r="556">
      <c r="N556" s="28"/>
      <c r="Q556" s="28"/>
      <c r="T556" s="28"/>
      <c r="V556" s="28"/>
      <c r="Y556" s="28"/>
    </row>
    <row r="557">
      <c r="N557" s="28"/>
      <c r="Q557" s="28"/>
      <c r="T557" s="28"/>
      <c r="V557" s="28"/>
      <c r="Y557" s="28"/>
    </row>
    <row r="558">
      <c r="N558" s="28"/>
      <c r="Q558" s="28"/>
      <c r="T558" s="28"/>
      <c r="V558" s="28"/>
      <c r="Y558" s="28"/>
    </row>
    <row r="559">
      <c r="N559" s="28"/>
      <c r="Q559" s="28"/>
      <c r="T559" s="28"/>
      <c r="V559" s="28"/>
      <c r="Y559" s="28"/>
    </row>
    <row r="560">
      <c r="N560" s="28"/>
      <c r="Q560" s="28"/>
      <c r="T560" s="28"/>
      <c r="V560" s="28"/>
      <c r="Y560" s="28"/>
    </row>
    <row r="561">
      <c r="N561" s="28"/>
      <c r="Q561" s="28"/>
      <c r="T561" s="28"/>
      <c r="V561" s="28"/>
      <c r="Y561" s="28"/>
    </row>
    <row r="562">
      <c r="N562" s="28"/>
      <c r="Q562" s="28"/>
      <c r="T562" s="28"/>
      <c r="V562" s="28"/>
      <c r="Y562" s="28"/>
    </row>
    <row r="563">
      <c r="N563" s="28"/>
      <c r="Q563" s="28"/>
      <c r="T563" s="28"/>
      <c r="V563" s="28"/>
      <c r="Y563" s="28"/>
    </row>
    <row r="564">
      <c r="N564" s="28"/>
      <c r="Q564" s="28"/>
      <c r="T564" s="28"/>
      <c r="V564" s="28"/>
      <c r="Y564" s="28"/>
    </row>
    <row r="565">
      <c r="N565" s="28"/>
      <c r="Q565" s="28"/>
      <c r="T565" s="28"/>
      <c r="V565" s="28"/>
      <c r="Y565" s="28"/>
    </row>
    <row r="566">
      <c r="N566" s="28"/>
      <c r="Q566" s="28"/>
      <c r="T566" s="28"/>
      <c r="V566" s="28"/>
      <c r="Y566" s="28"/>
    </row>
    <row r="567">
      <c r="N567" s="28"/>
      <c r="Q567" s="28"/>
      <c r="T567" s="28"/>
      <c r="V567" s="28"/>
      <c r="Y567" s="28"/>
    </row>
    <row r="568">
      <c r="N568" s="28"/>
      <c r="Q568" s="28"/>
      <c r="T568" s="28"/>
      <c r="V568" s="28"/>
      <c r="Y568" s="28"/>
    </row>
    <row r="569">
      <c r="N569" s="28"/>
      <c r="Q569" s="28"/>
      <c r="T569" s="28"/>
      <c r="V569" s="28"/>
      <c r="Y569" s="28"/>
    </row>
    <row r="570">
      <c r="N570" s="28"/>
      <c r="Q570" s="28"/>
      <c r="T570" s="28"/>
      <c r="V570" s="28"/>
      <c r="Y570" s="28"/>
    </row>
    <row r="571">
      <c r="N571" s="28"/>
      <c r="Q571" s="28"/>
      <c r="T571" s="28"/>
      <c r="V571" s="28"/>
      <c r="Y571" s="28"/>
    </row>
    <row r="572">
      <c r="N572" s="28"/>
      <c r="Q572" s="28"/>
      <c r="T572" s="28"/>
      <c r="V572" s="28"/>
      <c r="Y572" s="28"/>
    </row>
    <row r="573">
      <c r="N573" s="28"/>
      <c r="Q573" s="28"/>
      <c r="T573" s="28"/>
      <c r="V573" s="28"/>
      <c r="Y573" s="28"/>
    </row>
    <row r="574">
      <c r="N574" s="28"/>
      <c r="Q574" s="28"/>
      <c r="T574" s="28"/>
      <c r="V574" s="28"/>
      <c r="Y574" s="28"/>
    </row>
    <row r="575">
      <c r="N575" s="28"/>
      <c r="Q575" s="28"/>
      <c r="T575" s="28"/>
      <c r="V575" s="28"/>
      <c r="Y575" s="28"/>
    </row>
    <row r="576">
      <c r="N576" s="28"/>
      <c r="Q576" s="28"/>
      <c r="T576" s="28"/>
      <c r="V576" s="28"/>
      <c r="Y576" s="28"/>
    </row>
    <row r="577">
      <c r="N577" s="28"/>
      <c r="Q577" s="28"/>
      <c r="T577" s="28"/>
      <c r="V577" s="28"/>
      <c r="Y577" s="28"/>
    </row>
    <row r="578">
      <c r="N578" s="28"/>
      <c r="Q578" s="28"/>
      <c r="T578" s="28"/>
      <c r="V578" s="28"/>
      <c r="Y578" s="28"/>
    </row>
    <row r="579">
      <c r="N579" s="28"/>
      <c r="Q579" s="28"/>
      <c r="T579" s="28"/>
      <c r="V579" s="28"/>
      <c r="Y579" s="28"/>
    </row>
    <row r="580">
      <c r="N580" s="28"/>
      <c r="Q580" s="28"/>
      <c r="T580" s="28"/>
      <c r="V580" s="28"/>
      <c r="Y580" s="28"/>
    </row>
    <row r="581">
      <c r="N581" s="28"/>
      <c r="Q581" s="28"/>
      <c r="T581" s="28"/>
      <c r="V581" s="28"/>
      <c r="Y581" s="28"/>
    </row>
    <row r="582">
      <c r="N582" s="28"/>
      <c r="Q582" s="28"/>
      <c r="T582" s="28"/>
      <c r="V582" s="28"/>
      <c r="Y582" s="28"/>
    </row>
    <row r="583">
      <c r="N583" s="28"/>
      <c r="Q583" s="28"/>
      <c r="T583" s="28"/>
      <c r="V583" s="28"/>
      <c r="Y583" s="28"/>
    </row>
    <row r="584">
      <c r="N584" s="28"/>
      <c r="Q584" s="28"/>
      <c r="T584" s="28"/>
      <c r="V584" s="28"/>
      <c r="Y584" s="28"/>
    </row>
    <row r="585">
      <c r="N585" s="28"/>
      <c r="Q585" s="28"/>
      <c r="T585" s="28"/>
      <c r="V585" s="28"/>
      <c r="Y585" s="28"/>
    </row>
    <row r="586">
      <c r="N586" s="28"/>
      <c r="Q586" s="28"/>
      <c r="T586" s="28"/>
      <c r="V586" s="28"/>
      <c r="Y586" s="28"/>
    </row>
    <row r="587">
      <c r="N587" s="28"/>
      <c r="Q587" s="28"/>
      <c r="T587" s="28"/>
      <c r="V587" s="28"/>
      <c r="Y587" s="28"/>
    </row>
    <row r="588">
      <c r="N588" s="28"/>
      <c r="Q588" s="28"/>
      <c r="T588" s="28"/>
      <c r="V588" s="28"/>
      <c r="Y588" s="28"/>
    </row>
    <row r="589">
      <c r="N589" s="28"/>
      <c r="Q589" s="28"/>
      <c r="T589" s="28"/>
      <c r="V589" s="28"/>
      <c r="Y589" s="28"/>
    </row>
    <row r="590">
      <c r="N590" s="28"/>
      <c r="Q590" s="28"/>
      <c r="T590" s="28"/>
      <c r="V590" s="28"/>
      <c r="Y590" s="28"/>
    </row>
    <row r="591">
      <c r="N591" s="28"/>
      <c r="Q591" s="28"/>
      <c r="T591" s="28"/>
      <c r="V591" s="28"/>
      <c r="Y591" s="28"/>
    </row>
    <row r="592">
      <c r="N592" s="28"/>
      <c r="Q592" s="28"/>
      <c r="T592" s="28"/>
      <c r="V592" s="28"/>
      <c r="Y592" s="28"/>
    </row>
    <row r="593">
      <c r="N593" s="28"/>
      <c r="Q593" s="28"/>
      <c r="T593" s="28"/>
      <c r="V593" s="28"/>
      <c r="Y593" s="28"/>
    </row>
    <row r="594">
      <c r="N594" s="28"/>
      <c r="Q594" s="28"/>
      <c r="T594" s="28"/>
      <c r="V594" s="28"/>
      <c r="Y594" s="28"/>
    </row>
    <row r="595">
      <c r="N595" s="28"/>
      <c r="Q595" s="28"/>
      <c r="T595" s="28"/>
      <c r="V595" s="28"/>
      <c r="Y595" s="28"/>
    </row>
    <row r="596">
      <c r="N596" s="28"/>
      <c r="Q596" s="28"/>
      <c r="T596" s="28"/>
      <c r="V596" s="28"/>
      <c r="Y596" s="28"/>
    </row>
    <row r="597">
      <c r="N597" s="28"/>
      <c r="Q597" s="28"/>
      <c r="T597" s="28"/>
      <c r="V597" s="28"/>
      <c r="Y597" s="28"/>
    </row>
    <row r="598">
      <c r="N598" s="28"/>
      <c r="Q598" s="28"/>
      <c r="T598" s="28"/>
      <c r="V598" s="28"/>
      <c r="Y598" s="28"/>
    </row>
    <row r="599">
      <c r="N599" s="28"/>
      <c r="Q599" s="28"/>
      <c r="T599" s="28"/>
      <c r="V599" s="28"/>
      <c r="Y599" s="28"/>
    </row>
    <row r="600">
      <c r="N600" s="28"/>
      <c r="Q600" s="28"/>
      <c r="T600" s="28"/>
      <c r="V600" s="28"/>
      <c r="Y600" s="28"/>
    </row>
    <row r="601">
      <c r="N601" s="28"/>
      <c r="Q601" s="28"/>
      <c r="T601" s="28"/>
      <c r="V601" s="28"/>
      <c r="Y601" s="28"/>
    </row>
    <row r="602">
      <c r="N602" s="28"/>
      <c r="Q602" s="28"/>
      <c r="T602" s="28"/>
      <c r="V602" s="28"/>
      <c r="Y602" s="28"/>
    </row>
    <row r="603">
      <c r="N603" s="28"/>
      <c r="Q603" s="28"/>
      <c r="T603" s="28"/>
      <c r="V603" s="28"/>
      <c r="Y603" s="28"/>
    </row>
    <row r="604">
      <c r="N604" s="28"/>
      <c r="Q604" s="28"/>
      <c r="T604" s="28"/>
      <c r="V604" s="28"/>
      <c r="Y604" s="28"/>
    </row>
    <row r="605">
      <c r="N605" s="28"/>
      <c r="Q605" s="28"/>
      <c r="T605" s="28"/>
      <c r="V605" s="28"/>
      <c r="Y605" s="28"/>
    </row>
    <row r="606">
      <c r="N606" s="28"/>
      <c r="Q606" s="28"/>
      <c r="T606" s="28"/>
      <c r="V606" s="28"/>
      <c r="Y606" s="28"/>
    </row>
    <row r="607">
      <c r="N607" s="28"/>
      <c r="Q607" s="28"/>
      <c r="T607" s="28"/>
      <c r="V607" s="28"/>
      <c r="Y607" s="28"/>
    </row>
    <row r="608">
      <c r="N608" s="28"/>
      <c r="Q608" s="28"/>
      <c r="T608" s="28"/>
      <c r="V608" s="28"/>
      <c r="Y608" s="28"/>
    </row>
    <row r="609">
      <c r="N609" s="28"/>
      <c r="Q609" s="28"/>
      <c r="T609" s="28"/>
      <c r="V609" s="28"/>
      <c r="Y609" s="28"/>
    </row>
    <row r="610">
      <c r="N610" s="28"/>
      <c r="Q610" s="28"/>
      <c r="T610" s="28"/>
      <c r="V610" s="28"/>
      <c r="Y610" s="28"/>
    </row>
    <row r="611">
      <c r="N611" s="28"/>
      <c r="Q611" s="28"/>
      <c r="T611" s="28"/>
      <c r="V611" s="28"/>
      <c r="Y611" s="28"/>
    </row>
    <row r="612">
      <c r="N612" s="28"/>
      <c r="Q612" s="28"/>
      <c r="T612" s="28"/>
      <c r="V612" s="28"/>
      <c r="Y612" s="28"/>
    </row>
    <row r="613">
      <c r="N613" s="28"/>
      <c r="Q613" s="28"/>
      <c r="T613" s="28"/>
      <c r="V613" s="28"/>
      <c r="Y613" s="28"/>
    </row>
    <row r="614">
      <c r="N614" s="28"/>
      <c r="Q614" s="28"/>
      <c r="T614" s="28"/>
      <c r="V614" s="28"/>
      <c r="Y614" s="28"/>
    </row>
    <row r="615">
      <c r="N615" s="28"/>
      <c r="Q615" s="28"/>
      <c r="T615" s="28"/>
      <c r="V615" s="28"/>
      <c r="Y615" s="28"/>
    </row>
    <row r="616">
      <c r="N616" s="28"/>
      <c r="Q616" s="28"/>
      <c r="T616" s="28"/>
      <c r="V616" s="28"/>
      <c r="Y616" s="28"/>
    </row>
    <row r="617">
      <c r="N617" s="28"/>
      <c r="Q617" s="28"/>
      <c r="T617" s="28"/>
      <c r="V617" s="28"/>
      <c r="Y617" s="28"/>
    </row>
    <row r="618">
      <c r="N618" s="28"/>
      <c r="Q618" s="28"/>
      <c r="T618" s="28"/>
      <c r="V618" s="28"/>
      <c r="Y618" s="28"/>
    </row>
    <row r="619">
      <c r="N619" s="28"/>
      <c r="Q619" s="28"/>
      <c r="T619" s="28"/>
      <c r="V619" s="28"/>
      <c r="Y619" s="28"/>
    </row>
    <row r="620">
      <c r="N620" s="28"/>
      <c r="Q620" s="28"/>
      <c r="T620" s="28"/>
      <c r="V620" s="28"/>
      <c r="Y620" s="28"/>
    </row>
    <row r="621">
      <c r="N621" s="28"/>
      <c r="Q621" s="28"/>
      <c r="T621" s="28"/>
      <c r="V621" s="28"/>
      <c r="Y621" s="28"/>
    </row>
    <row r="622">
      <c r="N622" s="28"/>
      <c r="Q622" s="28"/>
      <c r="T622" s="28"/>
      <c r="V622" s="28"/>
      <c r="Y622" s="28"/>
    </row>
    <row r="623">
      <c r="N623" s="28"/>
      <c r="Q623" s="28"/>
      <c r="T623" s="28"/>
      <c r="V623" s="28"/>
      <c r="Y623" s="28"/>
    </row>
    <row r="624">
      <c r="N624" s="28"/>
      <c r="Q624" s="28"/>
      <c r="T624" s="28"/>
      <c r="V624" s="28"/>
      <c r="Y624" s="28"/>
    </row>
    <row r="625">
      <c r="N625" s="28"/>
      <c r="Q625" s="28"/>
      <c r="T625" s="28"/>
      <c r="V625" s="28"/>
      <c r="Y625" s="28"/>
    </row>
    <row r="626">
      <c r="N626" s="28"/>
      <c r="Q626" s="28"/>
      <c r="T626" s="28"/>
      <c r="V626" s="28"/>
      <c r="Y626" s="28"/>
    </row>
    <row r="627">
      <c r="N627" s="28"/>
      <c r="Q627" s="28"/>
      <c r="T627" s="28"/>
      <c r="V627" s="28"/>
      <c r="Y627" s="28"/>
    </row>
    <row r="628">
      <c r="N628" s="28"/>
      <c r="Q628" s="28"/>
      <c r="T628" s="28"/>
      <c r="V628" s="28"/>
      <c r="Y628" s="28"/>
    </row>
    <row r="629">
      <c r="N629" s="28"/>
      <c r="Q629" s="28"/>
      <c r="T629" s="28"/>
      <c r="V629" s="28"/>
      <c r="Y629" s="28"/>
    </row>
    <row r="630">
      <c r="N630" s="28"/>
      <c r="Q630" s="28"/>
      <c r="T630" s="28"/>
      <c r="V630" s="28"/>
      <c r="Y630" s="28"/>
    </row>
    <row r="631">
      <c r="N631" s="28"/>
      <c r="Q631" s="28"/>
      <c r="T631" s="28"/>
      <c r="V631" s="28"/>
      <c r="Y631" s="28"/>
    </row>
    <row r="632">
      <c r="N632" s="28"/>
      <c r="Q632" s="28"/>
      <c r="T632" s="28"/>
      <c r="V632" s="28"/>
      <c r="Y632" s="28"/>
    </row>
    <row r="633">
      <c r="N633" s="28"/>
      <c r="Q633" s="28"/>
      <c r="T633" s="28"/>
      <c r="V633" s="28"/>
      <c r="Y633" s="28"/>
    </row>
    <row r="634">
      <c r="N634" s="28"/>
      <c r="Q634" s="28"/>
      <c r="T634" s="28"/>
      <c r="V634" s="28"/>
      <c r="Y634" s="28"/>
    </row>
    <row r="635">
      <c r="N635" s="28"/>
      <c r="Q635" s="28"/>
      <c r="T635" s="28"/>
      <c r="V635" s="28"/>
      <c r="Y635" s="28"/>
    </row>
    <row r="636">
      <c r="N636" s="28"/>
      <c r="Q636" s="28"/>
      <c r="T636" s="28"/>
      <c r="V636" s="28"/>
      <c r="Y636" s="28"/>
    </row>
    <row r="637">
      <c r="N637" s="28"/>
      <c r="Q637" s="28"/>
      <c r="T637" s="28"/>
      <c r="V637" s="28"/>
      <c r="Y637" s="28"/>
    </row>
    <row r="638">
      <c r="N638" s="28"/>
      <c r="Q638" s="28"/>
      <c r="T638" s="28"/>
      <c r="V638" s="28"/>
      <c r="Y638" s="28"/>
    </row>
    <row r="639">
      <c r="N639" s="28"/>
      <c r="Q639" s="28"/>
      <c r="T639" s="28"/>
      <c r="V639" s="28"/>
      <c r="Y639" s="28"/>
    </row>
    <row r="640">
      <c r="N640" s="28"/>
      <c r="Q640" s="28"/>
      <c r="T640" s="28"/>
      <c r="V640" s="28"/>
      <c r="Y640" s="28"/>
    </row>
    <row r="641">
      <c r="N641" s="28"/>
      <c r="Q641" s="28"/>
      <c r="T641" s="28"/>
      <c r="V641" s="28"/>
      <c r="Y641" s="28"/>
    </row>
    <row r="642">
      <c r="N642" s="28"/>
      <c r="Q642" s="28"/>
      <c r="T642" s="28"/>
      <c r="V642" s="28"/>
      <c r="Y642" s="28"/>
    </row>
    <row r="643">
      <c r="N643" s="28"/>
      <c r="Q643" s="28"/>
      <c r="T643" s="28"/>
      <c r="V643" s="28"/>
      <c r="Y643" s="28"/>
    </row>
    <row r="644">
      <c r="N644" s="28"/>
      <c r="Q644" s="28"/>
      <c r="T644" s="28"/>
      <c r="V644" s="28"/>
      <c r="Y644" s="28"/>
    </row>
    <row r="645">
      <c r="N645" s="28"/>
      <c r="Q645" s="28"/>
      <c r="T645" s="28"/>
      <c r="V645" s="28"/>
      <c r="Y645" s="28"/>
    </row>
    <row r="646">
      <c r="N646" s="28"/>
      <c r="Q646" s="28"/>
      <c r="T646" s="28"/>
      <c r="V646" s="28"/>
      <c r="Y646" s="28"/>
    </row>
    <row r="647">
      <c r="N647" s="28"/>
      <c r="Q647" s="28"/>
      <c r="T647" s="28"/>
      <c r="V647" s="28"/>
      <c r="Y647" s="28"/>
    </row>
    <row r="648">
      <c r="N648" s="28"/>
      <c r="Q648" s="28"/>
      <c r="T648" s="28"/>
      <c r="V648" s="28"/>
      <c r="Y648" s="28"/>
    </row>
    <row r="649">
      <c r="N649" s="28"/>
      <c r="Q649" s="28"/>
      <c r="T649" s="28"/>
      <c r="V649" s="28"/>
      <c r="Y649" s="28"/>
    </row>
    <row r="650">
      <c r="N650" s="28"/>
      <c r="Q650" s="28"/>
      <c r="T650" s="28"/>
      <c r="V650" s="28"/>
      <c r="Y650" s="28"/>
    </row>
    <row r="651">
      <c r="N651" s="28"/>
      <c r="Q651" s="28"/>
      <c r="T651" s="28"/>
      <c r="V651" s="28"/>
      <c r="Y651" s="28"/>
    </row>
    <row r="652">
      <c r="N652" s="28"/>
      <c r="Q652" s="28"/>
      <c r="T652" s="28"/>
      <c r="V652" s="28"/>
      <c r="Y652" s="28"/>
    </row>
    <row r="653">
      <c r="N653" s="28"/>
      <c r="Q653" s="28"/>
      <c r="T653" s="28"/>
      <c r="V653" s="28"/>
      <c r="Y653" s="28"/>
    </row>
    <row r="654">
      <c r="N654" s="28"/>
      <c r="Q654" s="28"/>
      <c r="T654" s="28"/>
      <c r="V654" s="28"/>
      <c r="Y654" s="28"/>
    </row>
    <row r="655">
      <c r="N655" s="28"/>
      <c r="Q655" s="28"/>
      <c r="T655" s="28"/>
      <c r="V655" s="28"/>
      <c r="Y655" s="28"/>
    </row>
    <row r="656">
      <c r="N656" s="28"/>
      <c r="Q656" s="28"/>
      <c r="T656" s="28"/>
      <c r="V656" s="28"/>
      <c r="Y656" s="28"/>
    </row>
    <row r="657">
      <c r="N657" s="28"/>
      <c r="Q657" s="28"/>
      <c r="T657" s="28"/>
      <c r="V657" s="28"/>
      <c r="Y657" s="28"/>
    </row>
    <row r="658">
      <c r="N658" s="28"/>
      <c r="Q658" s="28"/>
      <c r="T658" s="28"/>
      <c r="V658" s="28"/>
      <c r="Y658" s="28"/>
    </row>
    <row r="659">
      <c r="N659" s="28"/>
      <c r="Q659" s="28"/>
      <c r="T659" s="28"/>
      <c r="V659" s="28"/>
      <c r="Y659" s="28"/>
    </row>
    <row r="660">
      <c r="N660" s="28"/>
      <c r="Q660" s="28"/>
      <c r="T660" s="28"/>
      <c r="V660" s="28"/>
      <c r="Y660" s="28"/>
    </row>
    <row r="661">
      <c r="N661" s="28"/>
      <c r="Q661" s="28"/>
      <c r="T661" s="28"/>
      <c r="V661" s="28"/>
      <c r="Y661" s="28"/>
    </row>
    <row r="662">
      <c r="N662" s="28"/>
      <c r="Q662" s="28"/>
      <c r="T662" s="28"/>
      <c r="V662" s="28"/>
      <c r="Y662" s="28"/>
    </row>
    <row r="663">
      <c r="N663" s="28"/>
      <c r="Q663" s="28"/>
      <c r="T663" s="28"/>
      <c r="V663" s="28"/>
      <c r="Y663" s="28"/>
    </row>
    <row r="664">
      <c r="N664" s="28"/>
      <c r="Q664" s="28"/>
      <c r="T664" s="28"/>
      <c r="V664" s="28"/>
      <c r="Y664" s="28"/>
    </row>
    <row r="665">
      <c r="N665" s="28"/>
      <c r="Q665" s="28"/>
      <c r="T665" s="28"/>
      <c r="V665" s="28"/>
      <c r="Y665" s="28"/>
    </row>
    <row r="666">
      <c r="N666" s="28"/>
      <c r="Q666" s="28"/>
      <c r="T666" s="28"/>
      <c r="V666" s="28"/>
      <c r="Y666" s="28"/>
    </row>
    <row r="667">
      <c r="N667" s="28"/>
      <c r="Q667" s="28"/>
      <c r="T667" s="28"/>
      <c r="V667" s="28"/>
      <c r="Y667" s="28"/>
    </row>
    <row r="668">
      <c r="N668" s="28"/>
      <c r="Q668" s="28"/>
      <c r="T668" s="28"/>
      <c r="V668" s="28"/>
      <c r="Y668" s="28"/>
    </row>
    <row r="669">
      <c r="N669" s="28"/>
      <c r="Q669" s="28"/>
      <c r="T669" s="28"/>
      <c r="V669" s="28"/>
      <c r="Y669" s="28"/>
    </row>
    <row r="670">
      <c r="N670" s="28"/>
      <c r="Q670" s="28"/>
      <c r="T670" s="28"/>
      <c r="V670" s="28"/>
      <c r="Y670" s="28"/>
    </row>
    <row r="671">
      <c r="N671" s="28"/>
      <c r="Q671" s="28"/>
      <c r="T671" s="28"/>
      <c r="V671" s="28"/>
      <c r="Y671" s="28"/>
    </row>
    <row r="672">
      <c r="N672" s="28"/>
      <c r="Q672" s="28"/>
      <c r="T672" s="28"/>
      <c r="V672" s="28"/>
      <c r="Y672" s="28"/>
    </row>
    <row r="673">
      <c r="N673" s="28"/>
      <c r="Q673" s="28"/>
      <c r="T673" s="28"/>
      <c r="V673" s="28"/>
      <c r="Y673" s="28"/>
    </row>
    <row r="674">
      <c r="N674" s="28"/>
      <c r="Q674" s="28"/>
      <c r="T674" s="28"/>
      <c r="V674" s="28"/>
      <c r="Y674" s="28"/>
    </row>
    <row r="675">
      <c r="N675" s="28"/>
      <c r="Q675" s="28"/>
      <c r="T675" s="28"/>
      <c r="V675" s="28"/>
      <c r="Y675" s="28"/>
    </row>
    <row r="676">
      <c r="N676" s="28"/>
      <c r="Q676" s="28"/>
      <c r="T676" s="28"/>
      <c r="V676" s="28"/>
      <c r="Y676" s="28"/>
    </row>
    <row r="677">
      <c r="N677" s="28"/>
      <c r="Q677" s="28"/>
      <c r="T677" s="28"/>
      <c r="V677" s="28"/>
      <c r="Y677" s="28"/>
    </row>
    <row r="678">
      <c r="N678" s="28"/>
      <c r="Q678" s="28"/>
      <c r="T678" s="28"/>
      <c r="V678" s="28"/>
      <c r="Y678" s="28"/>
    </row>
    <row r="679">
      <c r="N679" s="28"/>
      <c r="Q679" s="28"/>
      <c r="T679" s="28"/>
      <c r="V679" s="28"/>
      <c r="Y679" s="28"/>
    </row>
    <row r="680">
      <c r="N680" s="28"/>
      <c r="Q680" s="28"/>
      <c r="T680" s="28"/>
      <c r="V680" s="28"/>
      <c r="Y680" s="28"/>
    </row>
    <row r="681">
      <c r="N681" s="28"/>
      <c r="Q681" s="28"/>
      <c r="T681" s="28"/>
      <c r="V681" s="28"/>
      <c r="Y681" s="28"/>
    </row>
    <row r="682">
      <c r="N682" s="28"/>
      <c r="Q682" s="28"/>
      <c r="T682" s="28"/>
      <c r="V682" s="28"/>
      <c r="Y682" s="28"/>
    </row>
    <row r="683">
      <c r="N683" s="28"/>
      <c r="Q683" s="28"/>
      <c r="T683" s="28"/>
      <c r="V683" s="28"/>
      <c r="Y683" s="28"/>
    </row>
    <row r="684">
      <c r="N684" s="28"/>
      <c r="Q684" s="28"/>
      <c r="T684" s="28"/>
      <c r="V684" s="28"/>
      <c r="Y684" s="28"/>
    </row>
    <row r="685">
      <c r="N685" s="28"/>
      <c r="Q685" s="28"/>
      <c r="T685" s="28"/>
      <c r="V685" s="28"/>
      <c r="Y685" s="28"/>
    </row>
    <row r="686">
      <c r="N686" s="28"/>
      <c r="Q686" s="28"/>
      <c r="T686" s="28"/>
      <c r="V686" s="28"/>
      <c r="Y686" s="28"/>
    </row>
    <row r="687">
      <c r="N687" s="28"/>
      <c r="Q687" s="28"/>
      <c r="T687" s="28"/>
      <c r="V687" s="28"/>
      <c r="Y687" s="28"/>
    </row>
    <row r="688">
      <c r="N688" s="28"/>
      <c r="Q688" s="28"/>
      <c r="T688" s="28"/>
      <c r="V688" s="28"/>
      <c r="Y688" s="28"/>
    </row>
    <row r="689">
      <c r="N689" s="28"/>
      <c r="Q689" s="28"/>
      <c r="T689" s="28"/>
      <c r="V689" s="28"/>
      <c r="Y689" s="28"/>
    </row>
    <row r="690">
      <c r="N690" s="28"/>
      <c r="Q690" s="28"/>
      <c r="T690" s="28"/>
      <c r="V690" s="28"/>
      <c r="Y690" s="28"/>
    </row>
    <row r="691">
      <c r="N691" s="28"/>
      <c r="Q691" s="28"/>
      <c r="T691" s="28"/>
      <c r="V691" s="28"/>
      <c r="Y691" s="28"/>
    </row>
    <row r="692">
      <c r="N692" s="28"/>
      <c r="Q692" s="28"/>
      <c r="T692" s="28"/>
      <c r="V692" s="28"/>
      <c r="Y692" s="28"/>
    </row>
    <row r="693">
      <c r="N693" s="28"/>
      <c r="Q693" s="28"/>
      <c r="T693" s="28"/>
      <c r="V693" s="28"/>
      <c r="Y693" s="28"/>
    </row>
    <row r="694">
      <c r="N694" s="28"/>
      <c r="Q694" s="28"/>
      <c r="T694" s="28"/>
      <c r="V694" s="28"/>
      <c r="Y694" s="28"/>
    </row>
    <row r="695">
      <c r="N695" s="28"/>
      <c r="Q695" s="28"/>
      <c r="T695" s="28"/>
      <c r="V695" s="28"/>
      <c r="Y695" s="28"/>
    </row>
    <row r="696">
      <c r="N696" s="28"/>
      <c r="Q696" s="28"/>
      <c r="T696" s="28"/>
      <c r="V696" s="28"/>
      <c r="Y696" s="28"/>
    </row>
    <row r="697">
      <c r="N697" s="28"/>
      <c r="Q697" s="28"/>
      <c r="T697" s="28"/>
      <c r="V697" s="28"/>
      <c r="Y697" s="28"/>
    </row>
    <row r="698">
      <c r="N698" s="28"/>
      <c r="Q698" s="28"/>
      <c r="T698" s="28"/>
      <c r="V698" s="28"/>
      <c r="Y698" s="28"/>
    </row>
    <row r="699">
      <c r="N699" s="28"/>
      <c r="Q699" s="28"/>
      <c r="T699" s="28"/>
      <c r="V699" s="28"/>
      <c r="Y699" s="28"/>
    </row>
    <row r="700">
      <c r="N700" s="28"/>
      <c r="Q700" s="28"/>
      <c r="T700" s="28"/>
      <c r="V700" s="28"/>
      <c r="Y700" s="28"/>
    </row>
    <row r="701">
      <c r="N701" s="28"/>
      <c r="Q701" s="28"/>
      <c r="T701" s="28"/>
      <c r="V701" s="28"/>
      <c r="Y701" s="28"/>
    </row>
    <row r="702">
      <c r="N702" s="28"/>
      <c r="Q702" s="28"/>
      <c r="T702" s="28"/>
      <c r="V702" s="28"/>
      <c r="Y702" s="28"/>
    </row>
    <row r="703">
      <c r="N703" s="28"/>
      <c r="Q703" s="28"/>
      <c r="T703" s="28"/>
      <c r="V703" s="28"/>
      <c r="Y703" s="28"/>
    </row>
    <row r="704">
      <c r="N704" s="28"/>
      <c r="Q704" s="28"/>
      <c r="T704" s="28"/>
      <c r="V704" s="28"/>
      <c r="Y704" s="28"/>
    </row>
    <row r="705">
      <c r="N705" s="28"/>
      <c r="Q705" s="28"/>
      <c r="T705" s="28"/>
      <c r="V705" s="28"/>
      <c r="Y705" s="28"/>
    </row>
    <row r="706">
      <c r="N706" s="28"/>
      <c r="Q706" s="28"/>
      <c r="T706" s="28"/>
      <c r="V706" s="28"/>
      <c r="Y706" s="28"/>
    </row>
    <row r="707">
      <c r="N707" s="28"/>
      <c r="Q707" s="28"/>
      <c r="T707" s="28"/>
      <c r="V707" s="28"/>
      <c r="Y707" s="28"/>
    </row>
    <row r="708">
      <c r="N708" s="28"/>
      <c r="Q708" s="28"/>
      <c r="T708" s="28"/>
      <c r="V708" s="28"/>
      <c r="Y708" s="28"/>
    </row>
    <row r="709">
      <c r="N709" s="28"/>
      <c r="Q709" s="28"/>
      <c r="T709" s="28"/>
      <c r="V709" s="28"/>
      <c r="Y709" s="28"/>
    </row>
    <row r="710">
      <c r="N710" s="28"/>
      <c r="Q710" s="28"/>
      <c r="T710" s="28"/>
      <c r="V710" s="28"/>
      <c r="Y710" s="28"/>
    </row>
    <row r="711">
      <c r="N711" s="28"/>
      <c r="Q711" s="28"/>
      <c r="T711" s="28"/>
      <c r="V711" s="28"/>
      <c r="Y711" s="28"/>
    </row>
    <row r="712">
      <c r="N712" s="28"/>
      <c r="Q712" s="28"/>
      <c r="T712" s="28"/>
      <c r="V712" s="28"/>
      <c r="Y712" s="28"/>
    </row>
    <row r="713">
      <c r="N713" s="28"/>
      <c r="Q713" s="28"/>
      <c r="T713" s="28"/>
      <c r="V713" s="28"/>
      <c r="Y713" s="28"/>
    </row>
    <row r="714">
      <c r="N714" s="28"/>
      <c r="Q714" s="28"/>
      <c r="T714" s="28"/>
      <c r="V714" s="28"/>
      <c r="Y714" s="28"/>
    </row>
    <row r="715">
      <c r="N715" s="28"/>
      <c r="Q715" s="28"/>
      <c r="T715" s="28"/>
      <c r="V715" s="28"/>
      <c r="Y715" s="28"/>
    </row>
    <row r="716">
      <c r="N716" s="28"/>
      <c r="Q716" s="28"/>
      <c r="T716" s="28"/>
      <c r="V716" s="28"/>
      <c r="Y716" s="28"/>
    </row>
    <row r="717">
      <c r="N717" s="28"/>
      <c r="Q717" s="28"/>
      <c r="T717" s="28"/>
      <c r="V717" s="28"/>
      <c r="Y717" s="28"/>
    </row>
    <row r="718">
      <c r="N718" s="28"/>
      <c r="Q718" s="28"/>
      <c r="T718" s="28"/>
      <c r="V718" s="28"/>
      <c r="Y718" s="28"/>
    </row>
    <row r="719">
      <c r="N719" s="28"/>
      <c r="Q719" s="28"/>
      <c r="T719" s="28"/>
      <c r="V719" s="28"/>
      <c r="Y719" s="28"/>
    </row>
    <row r="720">
      <c r="N720" s="28"/>
      <c r="Q720" s="28"/>
      <c r="T720" s="28"/>
      <c r="V720" s="28"/>
      <c r="Y720" s="28"/>
    </row>
    <row r="721">
      <c r="N721" s="28"/>
      <c r="Q721" s="28"/>
      <c r="T721" s="28"/>
      <c r="V721" s="28"/>
      <c r="Y721" s="28"/>
    </row>
    <row r="722">
      <c r="N722" s="28"/>
      <c r="Q722" s="28"/>
      <c r="T722" s="28"/>
      <c r="V722" s="28"/>
      <c r="Y722" s="28"/>
    </row>
    <row r="723">
      <c r="N723" s="28"/>
      <c r="Q723" s="28"/>
      <c r="T723" s="28"/>
      <c r="V723" s="28"/>
      <c r="Y723" s="28"/>
    </row>
    <row r="724">
      <c r="N724" s="28"/>
      <c r="Q724" s="28"/>
      <c r="T724" s="28"/>
      <c r="V724" s="28"/>
      <c r="Y724" s="28"/>
    </row>
    <row r="725">
      <c r="N725" s="28"/>
      <c r="Q725" s="28"/>
      <c r="T725" s="28"/>
      <c r="V725" s="28"/>
      <c r="Y725" s="28"/>
    </row>
    <row r="726">
      <c r="N726" s="28"/>
      <c r="Q726" s="28"/>
      <c r="T726" s="28"/>
      <c r="V726" s="28"/>
      <c r="Y726" s="28"/>
    </row>
    <row r="727">
      <c r="N727" s="28"/>
      <c r="Q727" s="28"/>
      <c r="T727" s="28"/>
      <c r="V727" s="28"/>
      <c r="Y727" s="28"/>
    </row>
    <row r="728">
      <c r="N728" s="28"/>
      <c r="Q728" s="28"/>
      <c r="T728" s="28"/>
      <c r="V728" s="28"/>
      <c r="Y728" s="28"/>
    </row>
    <row r="729">
      <c r="N729" s="28"/>
      <c r="Q729" s="28"/>
      <c r="T729" s="28"/>
      <c r="V729" s="28"/>
      <c r="Y729" s="28"/>
    </row>
    <row r="730">
      <c r="N730" s="28"/>
      <c r="Q730" s="28"/>
      <c r="T730" s="28"/>
      <c r="V730" s="28"/>
      <c r="Y730" s="28"/>
    </row>
    <row r="731">
      <c r="N731" s="28"/>
      <c r="Q731" s="28"/>
      <c r="T731" s="28"/>
      <c r="V731" s="28"/>
      <c r="Y731" s="28"/>
    </row>
    <row r="732">
      <c r="N732" s="28"/>
      <c r="Q732" s="28"/>
      <c r="T732" s="28"/>
      <c r="V732" s="28"/>
      <c r="Y732" s="28"/>
    </row>
    <row r="733">
      <c r="N733" s="28"/>
      <c r="Q733" s="28"/>
      <c r="T733" s="28"/>
      <c r="V733" s="28"/>
      <c r="Y733" s="28"/>
    </row>
    <row r="734">
      <c r="N734" s="28"/>
      <c r="Q734" s="28"/>
      <c r="T734" s="28"/>
      <c r="V734" s="28"/>
      <c r="Y734" s="28"/>
    </row>
    <row r="735">
      <c r="N735" s="28"/>
      <c r="Q735" s="28"/>
      <c r="T735" s="28"/>
      <c r="V735" s="28"/>
      <c r="Y735" s="28"/>
    </row>
    <row r="736">
      <c r="N736" s="28"/>
      <c r="Q736" s="28"/>
      <c r="T736" s="28"/>
      <c r="V736" s="28"/>
      <c r="Y736" s="28"/>
    </row>
    <row r="737">
      <c r="N737" s="28"/>
      <c r="Q737" s="28"/>
      <c r="T737" s="28"/>
      <c r="V737" s="28"/>
      <c r="Y737" s="28"/>
    </row>
    <row r="738">
      <c r="N738" s="28"/>
      <c r="Q738" s="28"/>
      <c r="T738" s="28"/>
      <c r="V738" s="28"/>
      <c r="Y738" s="28"/>
    </row>
    <row r="739">
      <c r="N739" s="28"/>
      <c r="Q739" s="28"/>
      <c r="T739" s="28"/>
      <c r="V739" s="28"/>
      <c r="Y739" s="28"/>
    </row>
    <row r="740">
      <c r="N740" s="28"/>
      <c r="Q740" s="28"/>
      <c r="T740" s="28"/>
      <c r="V740" s="28"/>
      <c r="Y740" s="28"/>
    </row>
    <row r="741">
      <c r="N741" s="28"/>
      <c r="Q741" s="28"/>
      <c r="T741" s="28"/>
      <c r="V741" s="28"/>
      <c r="Y741" s="28"/>
    </row>
    <row r="742">
      <c r="N742" s="28"/>
      <c r="Q742" s="28"/>
      <c r="T742" s="28"/>
      <c r="V742" s="28"/>
      <c r="Y742" s="28"/>
    </row>
    <row r="743">
      <c r="N743" s="28"/>
      <c r="Q743" s="28"/>
      <c r="T743" s="28"/>
      <c r="V743" s="28"/>
      <c r="Y743" s="28"/>
    </row>
    <row r="744">
      <c r="N744" s="28"/>
      <c r="Q744" s="28"/>
      <c r="T744" s="28"/>
      <c r="V744" s="28"/>
      <c r="Y744" s="28"/>
    </row>
    <row r="745">
      <c r="N745" s="28"/>
      <c r="Q745" s="28"/>
      <c r="T745" s="28"/>
      <c r="V745" s="28"/>
      <c r="Y745" s="28"/>
    </row>
    <row r="746">
      <c r="N746" s="28"/>
      <c r="Q746" s="28"/>
      <c r="T746" s="28"/>
      <c r="V746" s="28"/>
      <c r="Y746" s="28"/>
    </row>
    <row r="747">
      <c r="N747" s="28"/>
      <c r="Q747" s="28"/>
      <c r="T747" s="28"/>
      <c r="V747" s="28"/>
      <c r="Y747" s="28"/>
    </row>
    <row r="748">
      <c r="N748" s="28"/>
      <c r="Q748" s="28"/>
      <c r="T748" s="28"/>
      <c r="V748" s="28"/>
      <c r="Y748" s="28"/>
    </row>
    <row r="749">
      <c r="N749" s="28"/>
      <c r="Q749" s="28"/>
      <c r="T749" s="28"/>
      <c r="V749" s="28"/>
      <c r="Y749" s="28"/>
    </row>
    <row r="750">
      <c r="N750" s="28"/>
      <c r="Q750" s="28"/>
      <c r="T750" s="28"/>
      <c r="V750" s="28"/>
      <c r="Y750" s="28"/>
    </row>
    <row r="751">
      <c r="N751" s="28"/>
      <c r="Q751" s="28"/>
      <c r="T751" s="28"/>
      <c r="V751" s="28"/>
      <c r="Y751" s="28"/>
    </row>
    <row r="752">
      <c r="N752" s="28"/>
      <c r="Q752" s="28"/>
      <c r="T752" s="28"/>
      <c r="V752" s="28"/>
      <c r="Y752" s="28"/>
    </row>
    <row r="753">
      <c r="N753" s="28"/>
      <c r="Q753" s="28"/>
      <c r="T753" s="28"/>
      <c r="V753" s="28"/>
      <c r="Y753" s="28"/>
    </row>
    <row r="754">
      <c r="N754" s="28"/>
      <c r="Q754" s="28"/>
      <c r="T754" s="28"/>
      <c r="V754" s="28"/>
      <c r="Y754" s="28"/>
    </row>
    <row r="755">
      <c r="N755" s="28"/>
      <c r="Q755" s="28"/>
      <c r="T755" s="28"/>
      <c r="V755" s="28"/>
      <c r="Y755" s="28"/>
    </row>
    <row r="756">
      <c r="N756" s="28"/>
      <c r="Q756" s="28"/>
      <c r="T756" s="28"/>
      <c r="V756" s="28"/>
      <c r="Y756" s="28"/>
    </row>
    <row r="757">
      <c r="N757" s="28"/>
      <c r="Q757" s="28"/>
      <c r="T757" s="28"/>
      <c r="V757" s="28"/>
      <c r="Y757" s="28"/>
    </row>
    <row r="758">
      <c r="N758" s="28"/>
      <c r="Q758" s="28"/>
      <c r="T758" s="28"/>
      <c r="V758" s="28"/>
      <c r="Y758" s="28"/>
    </row>
    <row r="759">
      <c r="N759" s="28"/>
      <c r="Q759" s="28"/>
      <c r="T759" s="28"/>
      <c r="V759" s="28"/>
      <c r="Y759" s="28"/>
    </row>
    <row r="760">
      <c r="N760" s="28"/>
      <c r="Q760" s="28"/>
      <c r="T760" s="28"/>
      <c r="V760" s="28"/>
      <c r="Y760" s="28"/>
    </row>
    <row r="761">
      <c r="N761" s="28"/>
      <c r="Q761" s="28"/>
      <c r="T761" s="28"/>
      <c r="V761" s="28"/>
      <c r="Y761" s="28"/>
    </row>
    <row r="762">
      <c r="N762" s="28"/>
      <c r="Q762" s="28"/>
      <c r="T762" s="28"/>
      <c r="V762" s="28"/>
      <c r="Y762" s="28"/>
    </row>
    <row r="763">
      <c r="N763" s="28"/>
      <c r="Q763" s="28"/>
      <c r="T763" s="28"/>
      <c r="V763" s="28"/>
      <c r="Y763" s="28"/>
    </row>
    <row r="764">
      <c r="N764" s="28"/>
      <c r="Q764" s="28"/>
      <c r="T764" s="28"/>
      <c r="V764" s="28"/>
      <c r="Y764" s="28"/>
    </row>
    <row r="765">
      <c r="N765" s="28"/>
      <c r="Q765" s="28"/>
      <c r="T765" s="28"/>
      <c r="V765" s="28"/>
      <c r="Y765" s="28"/>
    </row>
    <row r="766">
      <c r="N766" s="28"/>
      <c r="Q766" s="28"/>
      <c r="T766" s="28"/>
      <c r="V766" s="28"/>
      <c r="Y766" s="28"/>
    </row>
    <row r="767">
      <c r="N767" s="28"/>
      <c r="Q767" s="28"/>
      <c r="T767" s="28"/>
      <c r="V767" s="28"/>
      <c r="Y767" s="28"/>
    </row>
    <row r="768">
      <c r="N768" s="28"/>
      <c r="Q768" s="28"/>
      <c r="T768" s="28"/>
      <c r="V768" s="28"/>
      <c r="Y768" s="28"/>
    </row>
    <row r="769">
      <c r="N769" s="28"/>
      <c r="Q769" s="28"/>
      <c r="T769" s="28"/>
      <c r="V769" s="28"/>
      <c r="Y769" s="28"/>
    </row>
    <row r="770">
      <c r="N770" s="28"/>
      <c r="Q770" s="28"/>
      <c r="T770" s="28"/>
      <c r="V770" s="28"/>
      <c r="Y770" s="28"/>
    </row>
    <row r="771">
      <c r="N771" s="28"/>
      <c r="Q771" s="28"/>
      <c r="T771" s="28"/>
      <c r="V771" s="28"/>
      <c r="Y771" s="28"/>
    </row>
    <row r="772">
      <c r="N772" s="28"/>
      <c r="Q772" s="28"/>
      <c r="T772" s="28"/>
      <c r="V772" s="28"/>
      <c r="Y772" s="28"/>
    </row>
    <row r="773">
      <c r="N773" s="28"/>
      <c r="Q773" s="28"/>
      <c r="T773" s="28"/>
      <c r="V773" s="28"/>
      <c r="Y773" s="28"/>
    </row>
    <row r="774">
      <c r="N774" s="28"/>
      <c r="Q774" s="28"/>
      <c r="T774" s="28"/>
      <c r="V774" s="28"/>
      <c r="Y774" s="28"/>
    </row>
    <row r="775">
      <c r="N775" s="28"/>
      <c r="Q775" s="28"/>
      <c r="T775" s="28"/>
      <c r="V775" s="28"/>
      <c r="Y775" s="28"/>
    </row>
    <row r="776">
      <c r="N776" s="28"/>
      <c r="Q776" s="28"/>
      <c r="T776" s="28"/>
      <c r="V776" s="28"/>
      <c r="Y776" s="28"/>
    </row>
    <row r="777">
      <c r="N777" s="28"/>
      <c r="Q777" s="28"/>
      <c r="T777" s="28"/>
      <c r="V777" s="28"/>
      <c r="Y777" s="28"/>
    </row>
    <row r="778">
      <c r="N778" s="28"/>
      <c r="Q778" s="28"/>
      <c r="T778" s="28"/>
      <c r="V778" s="28"/>
      <c r="Y778" s="28"/>
    </row>
    <row r="779">
      <c r="N779" s="28"/>
      <c r="Q779" s="28"/>
      <c r="T779" s="28"/>
      <c r="V779" s="28"/>
      <c r="Y779" s="28"/>
    </row>
    <row r="780">
      <c r="N780" s="28"/>
      <c r="Q780" s="28"/>
      <c r="T780" s="28"/>
      <c r="V780" s="28"/>
      <c r="Y780" s="28"/>
    </row>
    <row r="781">
      <c r="N781" s="28"/>
      <c r="Q781" s="28"/>
      <c r="T781" s="28"/>
      <c r="V781" s="28"/>
      <c r="Y781" s="28"/>
    </row>
    <row r="782">
      <c r="N782" s="28"/>
      <c r="Q782" s="28"/>
      <c r="T782" s="28"/>
      <c r="V782" s="28"/>
      <c r="Y782" s="28"/>
    </row>
    <row r="783">
      <c r="N783" s="28"/>
      <c r="Q783" s="28"/>
      <c r="T783" s="28"/>
      <c r="V783" s="28"/>
      <c r="Y783" s="28"/>
    </row>
    <row r="784">
      <c r="N784" s="28"/>
      <c r="Q784" s="28"/>
      <c r="T784" s="28"/>
      <c r="V784" s="28"/>
      <c r="Y784" s="28"/>
    </row>
    <row r="785">
      <c r="N785" s="28"/>
      <c r="Q785" s="28"/>
      <c r="T785" s="28"/>
      <c r="V785" s="28"/>
      <c r="Y785" s="28"/>
    </row>
    <row r="786">
      <c r="N786" s="28"/>
      <c r="Q786" s="28"/>
      <c r="T786" s="28"/>
      <c r="V786" s="28"/>
      <c r="Y786" s="28"/>
    </row>
    <row r="787">
      <c r="N787" s="28"/>
      <c r="Q787" s="28"/>
      <c r="T787" s="28"/>
      <c r="V787" s="28"/>
      <c r="Y787" s="28"/>
    </row>
    <row r="788">
      <c r="N788" s="28"/>
      <c r="Q788" s="28"/>
      <c r="T788" s="28"/>
      <c r="V788" s="28"/>
      <c r="Y788" s="28"/>
    </row>
    <row r="789">
      <c r="N789" s="28"/>
      <c r="Q789" s="28"/>
      <c r="T789" s="28"/>
      <c r="V789" s="28"/>
      <c r="Y789" s="28"/>
    </row>
    <row r="790">
      <c r="N790" s="28"/>
      <c r="Q790" s="28"/>
      <c r="T790" s="28"/>
      <c r="V790" s="28"/>
      <c r="Y790" s="28"/>
    </row>
    <row r="791">
      <c r="N791" s="28"/>
      <c r="Q791" s="28"/>
      <c r="T791" s="28"/>
      <c r="V791" s="28"/>
      <c r="Y791" s="28"/>
    </row>
    <row r="792">
      <c r="N792" s="28"/>
      <c r="Q792" s="28"/>
      <c r="T792" s="28"/>
      <c r="V792" s="28"/>
      <c r="Y792" s="28"/>
    </row>
    <row r="793">
      <c r="N793" s="28"/>
      <c r="Q793" s="28"/>
      <c r="T793" s="28"/>
      <c r="V793" s="28"/>
      <c r="Y793" s="28"/>
    </row>
    <row r="794">
      <c r="N794" s="28"/>
      <c r="Q794" s="28"/>
      <c r="T794" s="28"/>
      <c r="V794" s="28"/>
      <c r="Y794" s="28"/>
    </row>
    <row r="795">
      <c r="N795" s="28"/>
      <c r="Q795" s="28"/>
      <c r="T795" s="28"/>
      <c r="V795" s="28"/>
      <c r="Y795" s="28"/>
    </row>
    <row r="796">
      <c r="N796" s="28"/>
      <c r="Q796" s="28"/>
      <c r="T796" s="28"/>
      <c r="V796" s="28"/>
      <c r="Y796" s="28"/>
    </row>
    <row r="797">
      <c r="N797" s="28"/>
      <c r="Q797" s="28"/>
      <c r="T797" s="28"/>
      <c r="V797" s="28"/>
      <c r="Y797" s="28"/>
    </row>
    <row r="798">
      <c r="N798" s="28"/>
      <c r="Q798" s="28"/>
      <c r="T798" s="28"/>
      <c r="V798" s="28"/>
      <c r="Y798" s="28"/>
    </row>
    <row r="799">
      <c r="N799" s="28"/>
      <c r="Q799" s="28"/>
      <c r="T799" s="28"/>
      <c r="V799" s="28"/>
      <c r="Y799" s="28"/>
    </row>
    <row r="800">
      <c r="N800" s="28"/>
      <c r="Q800" s="28"/>
      <c r="T800" s="28"/>
      <c r="V800" s="28"/>
      <c r="Y800" s="28"/>
    </row>
    <row r="801">
      <c r="N801" s="28"/>
      <c r="Q801" s="28"/>
      <c r="T801" s="28"/>
      <c r="V801" s="28"/>
      <c r="Y801" s="28"/>
    </row>
    <row r="802">
      <c r="N802" s="28"/>
      <c r="Q802" s="28"/>
      <c r="T802" s="28"/>
      <c r="V802" s="28"/>
      <c r="Y802" s="28"/>
    </row>
    <row r="803">
      <c r="N803" s="28"/>
      <c r="Q803" s="28"/>
      <c r="T803" s="28"/>
      <c r="V803" s="28"/>
      <c r="Y803" s="28"/>
    </row>
    <row r="804">
      <c r="N804" s="28"/>
      <c r="Q804" s="28"/>
      <c r="T804" s="28"/>
      <c r="V804" s="28"/>
      <c r="Y804" s="28"/>
    </row>
    <row r="805">
      <c r="N805" s="28"/>
      <c r="Q805" s="28"/>
      <c r="T805" s="28"/>
      <c r="V805" s="28"/>
      <c r="Y805" s="28"/>
    </row>
    <row r="806">
      <c r="N806" s="28"/>
      <c r="Q806" s="28"/>
      <c r="T806" s="28"/>
      <c r="V806" s="28"/>
      <c r="Y806" s="28"/>
    </row>
    <row r="807">
      <c r="N807" s="28"/>
      <c r="Q807" s="28"/>
      <c r="T807" s="28"/>
      <c r="V807" s="28"/>
      <c r="Y807" s="28"/>
    </row>
    <row r="808">
      <c r="N808" s="28"/>
      <c r="Q808" s="28"/>
      <c r="T808" s="28"/>
      <c r="V808" s="28"/>
      <c r="Y808" s="28"/>
    </row>
    <row r="809">
      <c r="N809" s="28"/>
      <c r="Q809" s="28"/>
      <c r="T809" s="28"/>
      <c r="V809" s="28"/>
      <c r="Y809" s="28"/>
    </row>
    <row r="810">
      <c r="N810" s="28"/>
      <c r="Q810" s="28"/>
      <c r="T810" s="28"/>
      <c r="V810" s="28"/>
      <c r="Y810" s="28"/>
    </row>
    <row r="811">
      <c r="N811" s="28"/>
      <c r="Q811" s="28"/>
      <c r="T811" s="28"/>
      <c r="V811" s="28"/>
      <c r="Y811" s="28"/>
    </row>
    <row r="812">
      <c r="N812" s="28"/>
      <c r="Q812" s="28"/>
      <c r="T812" s="28"/>
      <c r="V812" s="28"/>
      <c r="Y812" s="28"/>
    </row>
    <row r="813">
      <c r="N813" s="28"/>
      <c r="Q813" s="28"/>
      <c r="T813" s="28"/>
      <c r="V813" s="28"/>
      <c r="Y813" s="28"/>
    </row>
    <row r="814">
      <c r="N814" s="28"/>
      <c r="Q814" s="28"/>
      <c r="T814" s="28"/>
      <c r="V814" s="28"/>
      <c r="Y814" s="28"/>
    </row>
    <row r="815">
      <c r="N815" s="28"/>
      <c r="Q815" s="28"/>
      <c r="T815" s="28"/>
      <c r="V815" s="28"/>
      <c r="Y815" s="28"/>
    </row>
    <row r="816">
      <c r="N816" s="28"/>
      <c r="Q816" s="28"/>
      <c r="T816" s="28"/>
      <c r="V816" s="28"/>
      <c r="Y816" s="28"/>
    </row>
    <row r="817">
      <c r="N817" s="28"/>
      <c r="Q817" s="28"/>
      <c r="T817" s="28"/>
      <c r="V817" s="28"/>
      <c r="Y817" s="28"/>
    </row>
    <row r="818">
      <c r="N818" s="28"/>
      <c r="Q818" s="28"/>
      <c r="T818" s="28"/>
      <c r="V818" s="28"/>
      <c r="Y818" s="28"/>
    </row>
    <row r="819">
      <c r="N819" s="28"/>
      <c r="Q819" s="28"/>
      <c r="T819" s="28"/>
      <c r="V819" s="28"/>
      <c r="Y819" s="28"/>
    </row>
    <row r="820">
      <c r="N820" s="28"/>
      <c r="Q820" s="28"/>
      <c r="T820" s="28"/>
      <c r="V820" s="28"/>
      <c r="Y820" s="28"/>
    </row>
    <row r="821">
      <c r="N821" s="28"/>
      <c r="Q821" s="28"/>
      <c r="T821" s="28"/>
      <c r="V821" s="28"/>
      <c r="Y821" s="28"/>
    </row>
    <row r="822">
      <c r="N822" s="28"/>
      <c r="Q822" s="28"/>
      <c r="T822" s="28"/>
      <c r="V822" s="28"/>
      <c r="Y822" s="28"/>
    </row>
    <row r="823">
      <c r="N823" s="28"/>
      <c r="Q823" s="28"/>
      <c r="T823" s="28"/>
      <c r="V823" s="28"/>
      <c r="Y823" s="28"/>
    </row>
    <row r="824">
      <c r="N824" s="28"/>
      <c r="Q824" s="28"/>
      <c r="T824" s="28"/>
      <c r="V824" s="28"/>
      <c r="Y824" s="28"/>
    </row>
    <row r="825">
      <c r="N825" s="28"/>
      <c r="Q825" s="28"/>
      <c r="T825" s="28"/>
      <c r="V825" s="28"/>
      <c r="Y825" s="28"/>
    </row>
    <row r="826">
      <c r="N826" s="28"/>
      <c r="Q826" s="28"/>
      <c r="T826" s="28"/>
      <c r="V826" s="28"/>
      <c r="Y826" s="28"/>
    </row>
    <row r="827">
      <c r="N827" s="28"/>
      <c r="Q827" s="28"/>
      <c r="T827" s="28"/>
      <c r="V827" s="28"/>
      <c r="Y827" s="28"/>
    </row>
    <row r="828">
      <c r="N828" s="28"/>
      <c r="Q828" s="28"/>
      <c r="T828" s="28"/>
      <c r="V828" s="28"/>
      <c r="Y828" s="28"/>
    </row>
    <row r="829">
      <c r="N829" s="28"/>
      <c r="Q829" s="28"/>
      <c r="T829" s="28"/>
      <c r="V829" s="28"/>
      <c r="Y829" s="28"/>
    </row>
    <row r="830">
      <c r="N830" s="28"/>
      <c r="Q830" s="28"/>
      <c r="T830" s="28"/>
      <c r="V830" s="28"/>
      <c r="Y830" s="28"/>
    </row>
    <row r="831">
      <c r="N831" s="28"/>
      <c r="Q831" s="28"/>
      <c r="T831" s="28"/>
      <c r="V831" s="28"/>
      <c r="Y831" s="28"/>
    </row>
    <row r="832">
      <c r="N832" s="28"/>
      <c r="Q832" s="28"/>
      <c r="T832" s="28"/>
      <c r="V832" s="28"/>
      <c r="Y832" s="28"/>
    </row>
    <row r="833">
      <c r="N833" s="28"/>
      <c r="Q833" s="28"/>
      <c r="T833" s="28"/>
      <c r="V833" s="28"/>
      <c r="Y833" s="28"/>
    </row>
    <row r="834">
      <c r="N834" s="28"/>
      <c r="Q834" s="28"/>
      <c r="T834" s="28"/>
      <c r="V834" s="28"/>
      <c r="Y834" s="28"/>
    </row>
    <row r="835">
      <c r="N835" s="28"/>
      <c r="Q835" s="28"/>
      <c r="T835" s="28"/>
      <c r="V835" s="28"/>
      <c r="Y835" s="28"/>
    </row>
    <row r="836">
      <c r="N836" s="28"/>
      <c r="Q836" s="28"/>
      <c r="T836" s="28"/>
      <c r="V836" s="28"/>
      <c r="Y836" s="28"/>
    </row>
    <row r="837">
      <c r="N837" s="28"/>
      <c r="Q837" s="28"/>
      <c r="T837" s="28"/>
      <c r="V837" s="28"/>
      <c r="Y837" s="28"/>
    </row>
    <row r="838">
      <c r="N838" s="28"/>
      <c r="Q838" s="28"/>
      <c r="T838" s="28"/>
      <c r="V838" s="28"/>
      <c r="Y838" s="28"/>
    </row>
    <row r="839">
      <c r="N839" s="28"/>
      <c r="Q839" s="28"/>
      <c r="T839" s="28"/>
      <c r="V839" s="28"/>
      <c r="Y839" s="28"/>
    </row>
    <row r="840">
      <c r="N840" s="28"/>
      <c r="Q840" s="28"/>
      <c r="T840" s="28"/>
      <c r="V840" s="28"/>
      <c r="Y840" s="28"/>
    </row>
    <row r="841">
      <c r="N841" s="28"/>
      <c r="Q841" s="28"/>
      <c r="T841" s="28"/>
      <c r="V841" s="28"/>
      <c r="Y841" s="28"/>
    </row>
    <row r="842">
      <c r="N842" s="28"/>
      <c r="Q842" s="28"/>
      <c r="T842" s="28"/>
      <c r="V842" s="28"/>
      <c r="Y842" s="28"/>
    </row>
    <row r="843">
      <c r="N843" s="28"/>
      <c r="Q843" s="28"/>
      <c r="T843" s="28"/>
      <c r="V843" s="28"/>
      <c r="Y843" s="28"/>
    </row>
    <row r="844">
      <c r="N844" s="28"/>
      <c r="Q844" s="28"/>
      <c r="T844" s="28"/>
      <c r="V844" s="28"/>
      <c r="Y844" s="28"/>
    </row>
    <row r="845">
      <c r="N845" s="28"/>
      <c r="Q845" s="28"/>
      <c r="T845" s="28"/>
      <c r="V845" s="28"/>
      <c r="Y845" s="28"/>
    </row>
    <row r="846">
      <c r="N846" s="28"/>
      <c r="Q846" s="28"/>
      <c r="T846" s="28"/>
      <c r="V846" s="28"/>
      <c r="Y846" s="28"/>
    </row>
    <row r="847">
      <c r="N847" s="28"/>
      <c r="Q847" s="28"/>
      <c r="T847" s="28"/>
      <c r="V847" s="28"/>
      <c r="Y847" s="28"/>
    </row>
    <row r="848">
      <c r="N848" s="28"/>
      <c r="Q848" s="28"/>
      <c r="T848" s="28"/>
      <c r="V848" s="28"/>
      <c r="Y848" s="28"/>
    </row>
    <row r="849">
      <c r="N849" s="28"/>
      <c r="Q849" s="28"/>
      <c r="T849" s="28"/>
      <c r="V849" s="28"/>
      <c r="Y849" s="28"/>
    </row>
    <row r="850">
      <c r="N850" s="28"/>
      <c r="Q850" s="28"/>
      <c r="T850" s="28"/>
      <c r="V850" s="28"/>
      <c r="Y850" s="28"/>
    </row>
    <row r="851">
      <c r="N851" s="28"/>
      <c r="Q851" s="28"/>
      <c r="T851" s="28"/>
      <c r="V851" s="28"/>
      <c r="Y851" s="28"/>
    </row>
    <row r="852">
      <c r="N852" s="28"/>
      <c r="Q852" s="28"/>
      <c r="T852" s="28"/>
      <c r="V852" s="28"/>
      <c r="Y852" s="28"/>
    </row>
    <row r="853">
      <c r="N853" s="28"/>
      <c r="Q853" s="28"/>
      <c r="T853" s="28"/>
      <c r="V853" s="28"/>
      <c r="Y853" s="28"/>
    </row>
    <row r="854">
      <c r="N854" s="28"/>
      <c r="Q854" s="28"/>
      <c r="T854" s="28"/>
      <c r="V854" s="28"/>
      <c r="Y854" s="28"/>
    </row>
    <row r="855">
      <c r="N855" s="28"/>
      <c r="Q855" s="28"/>
      <c r="T855" s="28"/>
      <c r="V855" s="28"/>
      <c r="Y855" s="28"/>
    </row>
    <row r="856">
      <c r="N856" s="28"/>
      <c r="Q856" s="28"/>
      <c r="T856" s="28"/>
      <c r="V856" s="28"/>
      <c r="Y856" s="28"/>
    </row>
    <row r="857">
      <c r="N857" s="28"/>
      <c r="Q857" s="28"/>
      <c r="T857" s="28"/>
      <c r="V857" s="28"/>
      <c r="Y857" s="28"/>
    </row>
    <row r="858">
      <c r="N858" s="28"/>
      <c r="Q858" s="28"/>
      <c r="T858" s="28"/>
      <c r="V858" s="28"/>
      <c r="Y858" s="28"/>
    </row>
    <row r="859">
      <c r="N859" s="28"/>
      <c r="Q859" s="28"/>
      <c r="T859" s="28"/>
      <c r="V859" s="28"/>
      <c r="Y859" s="28"/>
    </row>
    <row r="860">
      <c r="N860" s="28"/>
      <c r="Q860" s="28"/>
      <c r="T860" s="28"/>
      <c r="V860" s="28"/>
      <c r="Y860" s="28"/>
    </row>
    <row r="861">
      <c r="N861" s="28"/>
      <c r="Q861" s="28"/>
      <c r="T861" s="28"/>
      <c r="V861" s="28"/>
      <c r="Y861" s="28"/>
    </row>
    <row r="862">
      <c r="N862" s="28"/>
      <c r="Q862" s="28"/>
      <c r="T862" s="28"/>
      <c r="V862" s="28"/>
      <c r="Y862" s="28"/>
    </row>
    <row r="863">
      <c r="N863" s="28"/>
      <c r="Q863" s="28"/>
      <c r="T863" s="28"/>
      <c r="V863" s="28"/>
      <c r="Y863" s="28"/>
    </row>
    <row r="864">
      <c r="N864" s="28"/>
      <c r="Q864" s="28"/>
      <c r="T864" s="28"/>
      <c r="V864" s="28"/>
      <c r="Y864" s="28"/>
    </row>
    <row r="865">
      <c r="N865" s="28"/>
      <c r="Q865" s="28"/>
      <c r="T865" s="28"/>
      <c r="V865" s="28"/>
      <c r="Y865" s="28"/>
    </row>
    <row r="866">
      <c r="N866" s="28"/>
      <c r="Q866" s="28"/>
      <c r="T866" s="28"/>
      <c r="V866" s="28"/>
      <c r="Y866" s="28"/>
    </row>
    <row r="867">
      <c r="N867" s="28"/>
      <c r="Q867" s="28"/>
      <c r="T867" s="28"/>
      <c r="V867" s="28"/>
      <c r="Y867" s="28"/>
    </row>
    <row r="868">
      <c r="N868" s="28"/>
      <c r="Q868" s="28"/>
      <c r="T868" s="28"/>
      <c r="V868" s="28"/>
      <c r="Y868" s="28"/>
    </row>
    <row r="869">
      <c r="N869" s="28"/>
      <c r="Q869" s="28"/>
      <c r="T869" s="28"/>
      <c r="V869" s="28"/>
      <c r="Y869" s="28"/>
    </row>
    <row r="870">
      <c r="N870" s="28"/>
      <c r="Q870" s="28"/>
      <c r="T870" s="28"/>
      <c r="V870" s="28"/>
      <c r="Y870" s="28"/>
    </row>
    <row r="871">
      <c r="N871" s="28"/>
      <c r="Q871" s="28"/>
      <c r="T871" s="28"/>
      <c r="V871" s="28"/>
      <c r="Y871" s="28"/>
    </row>
    <row r="872">
      <c r="N872" s="28"/>
      <c r="Q872" s="28"/>
      <c r="T872" s="28"/>
      <c r="V872" s="28"/>
      <c r="Y872" s="28"/>
    </row>
    <row r="873">
      <c r="N873" s="28"/>
      <c r="Q873" s="28"/>
      <c r="T873" s="28"/>
      <c r="V873" s="28"/>
      <c r="Y873" s="28"/>
    </row>
    <row r="874">
      <c r="N874" s="28"/>
      <c r="Q874" s="28"/>
      <c r="T874" s="28"/>
      <c r="V874" s="28"/>
      <c r="Y874" s="28"/>
    </row>
    <row r="875">
      <c r="N875" s="28"/>
      <c r="Q875" s="28"/>
      <c r="T875" s="28"/>
      <c r="V875" s="28"/>
      <c r="Y875" s="28"/>
    </row>
    <row r="876">
      <c r="N876" s="28"/>
      <c r="Q876" s="28"/>
      <c r="T876" s="28"/>
      <c r="V876" s="28"/>
      <c r="Y876" s="28"/>
    </row>
    <row r="877">
      <c r="N877" s="28"/>
      <c r="Q877" s="28"/>
      <c r="T877" s="28"/>
      <c r="V877" s="28"/>
      <c r="Y877" s="28"/>
    </row>
    <row r="878">
      <c r="N878" s="28"/>
      <c r="Q878" s="28"/>
      <c r="T878" s="28"/>
      <c r="V878" s="28"/>
      <c r="Y878" s="28"/>
    </row>
    <row r="879">
      <c r="N879" s="28"/>
      <c r="Q879" s="28"/>
      <c r="T879" s="28"/>
      <c r="V879" s="28"/>
      <c r="Y879" s="28"/>
    </row>
    <row r="880">
      <c r="N880" s="28"/>
      <c r="Q880" s="28"/>
      <c r="T880" s="28"/>
      <c r="V880" s="28"/>
      <c r="Y880" s="28"/>
    </row>
    <row r="881">
      <c r="N881" s="28"/>
      <c r="Q881" s="28"/>
      <c r="T881" s="28"/>
      <c r="V881" s="28"/>
      <c r="Y881" s="28"/>
    </row>
    <row r="882">
      <c r="N882" s="28"/>
      <c r="Q882" s="28"/>
      <c r="T882" s="28"/>
      <c r="V882" s="28"/>
      <c r="Y882" s="28"/>
    </row>
    <row r="883">
      <c r="N883" s="28"/>
      <c r="Q883" s="28"/>
      <c r="T883" s="28"/>
      <c r="V883" s="28"/>
      <c r="Y883" s="28"/>
    </row>
    <row r="884">
      <c r="N884" s="28"/>
      <c r="Q884" s="28"/>
      <c r="T884" s="28"/>
      <c r="V884" s="28"/>
      <c r="Y884" s="28"/>
    </row>
    <row r="885">
      <c r="N885" s="28"/>
      <c r="Q885" s="28"/>
      <c r="T885" s="28"/>
      <c r="V885" s="28"/>
      <c r="Y885" s="28"/>
    </row>
    <row r="886">
      <c r="N886" s="28"/>
      <c r="Q886" s="28"/>
      <c r="T886" s="28"/>
      <c r="V886" s="28"/>
      <c r="Y886" s="28"/>
    </row>
    <row r="887">
      <c r="N887" s="28"/>
      <c r="Q887" s="28"/>
      <c r="T887" s="28"/>
      <c r="V887" s="28"/>
      <c r="Y887" s="28"/>
    </row>
    <row r="888">
      <c r="N888" s="28"/>
      <c r="Q888" s="28"/>
      <c r="T888" s="28"/>
      <c r="V888" s="28"/>
      <c r="Y888" s="28"/>
    </row>
    <row r="889">
      <c r="N889" s="28"/>
      <c r="Q889" s="28"/>
      <c r="T889" s="28"/>
      <c r="V889" s="28"/>
      <c r="Y889" s="28"/>
    </row>
    <row r="890">
      <c r="N890" s="28"/>
      <c r="Q890" s="28"/>
      <c r="T890" s="28"/>
      <c r="V890" s="28"/>
      <c r="Y890" s="28"/>
    </row>
    <row r="891">
      <c r="N891" s="28"/>
      <c r="Q891" s="28"/>
      <c r="T891" s="28"/>
      <c r="V891" s="28"/>
      <c r="Y891" s="28"/>
    </row>
    <row r="892">
      <c r="N892" s="28"/>
      <c r="Q892" s="28"/>
      <c r="T892" s="28"/>
      <c r="V892" s="28"/>
      <c r="Y892" s="28"/>
    </row>
    <row r="893">
      <c r="N893" s="28"/>
      <c r="Q893" s="28"/>
      <c r="T893" s="28"/>
      <c r="V893" s="28"/>
      <c r="Y893" s="28"/>
    </row>
    <row r="894">
      <c r="N894" s="28"/>
      <c r="Q894" s="28"/>
      <c r="T894" s="28"/>
      <c r="V894" s="28"/>
      <c r="Y894" s="28"/>
    </row>
    <row r="895">
      <c r="N895" s="28"/>
      <c r="Q895" s="28"/>
      <c r="T895" s="28"/>
      <c r="V895" s="28"/>
      <c r="Y895" s="28"/>
    </row>
    <row r="896">
      <c r="N896" s="28"/>
      <c r="Q896" s="28"/>
      <c r="T896" s="28"/>
      <c r="V896" s="28"/>
      <c r="Y896" s="28"/>
    </row>
    <row r="897">
      <c r="N897" s="28"/>
      <c r="Q897" s="28"/>
      <c r="T897" s="28"/>
      <c r="V897" s="28"/>
      <c r="Y897" s="28"/>
    </row>
    <row r="898">
      <c r="N898" s="28"/>
      <c r="Q898" s="28"/>
      <c r="T898" s="28"/>
      <c r="V898" s="28"/>
      <c r="Y898" s="28"/>
    </row>
    <row r="899">
      <c r="N899" s="28"/>
      <c r="Q899" s="28"/>
      <c r="T899" s="28"/>
      <c r="V899" s="28"/>
      <c r="Y899" s="28"/>
    </row>
    <row r="900">
      <c r="N900" s="28"/>
      <c r="Q900" s="28"/>
      <c r="T900" s="28"/>
      <c r="V900" s="28"/>
      <c r="Y900" s="28"/>
    </row>
    <row r="901">
      <c r="N901" s="28"/>
      <c r="Q901" s="28"/>
      <c r="T901" s="28"/>
      <c r="V901" s="28"/>
      <c r="Y901" s="28"/>
    </row>
    <row r="902">
      <c r="N902" s="28"/>
      <c r="Q902" s="28"/>
      <c r="T902" s="28"/>
      <c r="V902" s="28"/>
      <c r="Y902" s="28"/>
    </row>
    <row r="903">
      <c r="N903" s="28"/>
      <c r="Q903" s="28"/>
      <c r="T903" s="28"/>
      <c r="V903" s="28"/>
      <c r="Y903" s="28"/>
    </row>
    <row r="904">
      <c r="N904" s="28"/>
      <c r="Q904" s="28"/>
      <c r="T904" s="28"/>
      <c r="V904" s="28"/>
      <c r="Y904" s="28"/>
    </row>
    <row r="905">
      <c r="N905" s="28"/>
      <c r="Q905" s="28"/>
      <c r="T905" s="28"/>
      <c r="V905" s="28"/>
      <c r="Y905" s="28"/>
    </row>
    <row r="906">
      <c r="N906" s="28"/>
      <c r="Q906" s="28"/>
      <c r="T906" s="28"/>
      <c r="V906" s="28"/>
      <c r="Y906" s="28"/>
    </row>
    <row r="907">
      <c r="N907" s="28"/>
      <c r="Q907" s="28"/>
      <c r="T907" s="28"/>
      <c r="V907" s="28"/>
      <c r="Y907" s="28"/>
    </row>
    <row r="908">
      <c r="N908" s="28"/>
      <c r="Q908" s="28"/>
      <c r="T908" s="28"/>
      <c r="V908" s="28"/>
      <c r="Y908" s="28"/>
    </row>
    <row r="909">
      <c r="N909" s="28"/>
      <c r="Q909" s="28"/>
      <c r="T909" s="28"/>
      <c r="V909" s="28"/>
      <c r="Y909" s="28"/>
    </row>
    <row r="910">
      <c r="N910" s="28"/>
      <c r="Q910" s="28"/>
      <c r="T910" s="28"/>
      <c r="V910" s="28"/>
      <c r="Y910" s="28"/>
    </row>
    <row r="911">
      <c r="N911" s="28"/>
      <c r="Q911" s="28"/>
      <c r="T911" s="28"/>
      <c r="V911" s="28"/>
      <c r="Y911" s="28"/>
    </row>
    <row r="912">
      <c r="N912" s="28"/>
      <c r="Q912" s="28"/>
      <c r="T912" s="28"/>
      <c r="V912" s="28"/>
      <c r="Y912" s="28"/>
    </row>
    <row r="913">
      <c r="N913" s="28"/>
      <c r="Q913" s="28"/>
      <c r="T913" s="28"/>
      <c r="V913" s="28"/>
      <c r="Y913" s="28"/>
    </row>
    <row r="914">
      <c r="N914" s="28"/>
      <c r="Q914" s="28"/>
      <c r="T914" s="28"/>
      <c r="V914" s="28"/>
      <c r="Y914" s="28"/>
    </row>
    <row r="915">
      <c r="N915" s="28"/>
      <c r="Q915" s="28"/>
      <c r="T915" s="28"/>
      <c r="V915" s="28"/>
      <c r="Y915" s="28"/>
    </row>
    <row r="916">
      <c r="N916" s="28"/>
      <c r="Q916" s="28"/>
      <c r="T916" s="28"/>
      <c r="V916" s="28"/>
      <c r="Y916" s="28"/>
    </row>
    <row r="917">
      <c r="N917" s="28"/>
      <c r="Q917" s="28"/>
      <c r="T917" s="28"/>
      <c r="V917" s="28"/>
      <c r="Y917" s="28"/>
    </row>
    <row r="918">
      <c r="N918" s="28"/>
      <c r="Q918" s="28"/>
      <c r="T918" s="28"/>
      <c r="V918" s="28"/>
      <c r="Y918" s="28"/>
    </row>
    <row r="919">
      <c r="N919" s="28"/>
      <c r="Q919" s="28"/>
      <c r="T919" s="28"/>
      <c r="V919" s="28"/>
      <c r="Y919" s="28"/>
    </row>
    <row r="920">
      <c r="N920" s="28"/>
      <c r="Q920" s="28"/>
      <c r="T920" s="28"/>
      <c r="V920" s="28"/>
      <c r="Y920" s="28"/>
    </row>
    <row r="921">
      <c r="N921" s="28"/>
      <c r="Q921" s="28"/>
      <c r="T921" s="28"/>
      <c r="V921" s="28"/>
      <c r="Y921" s="28"/>
    </row>
    <row r="922">
      <c r="N922" s="28"/>
      <c r="Q922" s="28"/>
      <c r="T922" s="28"/>
      <c r="V922" s="28"/>
      <c r="Y922" s="28"/>
    </row>
    <row r="923">
      <c r="N923" s="28"/>
      <c r="Q923" s="28"/>
      <c r="T923" s="28"/>
      <c r="V923" s="28"/>
      <c r="Y923" s="28"/>
    </row>
    <row r="924">
      <c r="N924" s="28"/>
      <c r="Q924" s="28"/>
      <c r="T924" s="28"/>
      <c r="V924" s="28"/>
      <c r="Y924" s="28"/>
    </row>
    <row r="925">
      <c r="N925" s="28"/>
      <c r="Q925" s="28"/>
      <c r="T925" s="28"/>
      <c r="V925" s="28"/>
      <c r="Y925" s="28"/>
    </row>
    <row r="926">
      <c r="N926" s="28"/>
      <c r="Q926" s="28"/>
      <c r="T926" s="28"/>
      <c r="V926" s="28"/>
      <c r="Y926" s="28"/>
    </row>
    <row r="927">
      <c r="N927" s="28"/>
      <c r="Q927" s="28"/>
      <c r="T927" s="28"/>
      <c r="V927" s="28"/>
      <c r="Y927" s="28"/>
    </row>
    <row r="928">
      <c r="N928" s="28"/>
      <c r="Q928" s="28"/>
      <c r="T928" s="28"/>
      <c r="V928" s="28"/>
      <c r="Y928" s="28"/>
    </row>
    <row r="929">
      <c r="N929" s="28"/>
      <c r="Q929" s="28"/>
      <c r="T929" s="28"/>
      <c r="V929" s="28"/>
      <c r="Y929" s="28"/>
    </row>
    <row r="930">
      <c r="N930" s="28"/>
      <c r="Q930" s="28"/>
      <c r="T930" s="28"/>
      <c r="V930" s="28"/>
      <c r="Y930" s="28"/>
    </row>
    <row r="931">
      <c r="N931" s="28"/>
      <c r="Q931" s="28"/>
      <c r="T931" s="28"/>
      <c r="V931" s="28"/>
      <c r="Y931" s="28"/>
    </row>
    <row r="932">
      <c r="N932" s="28"/>
      <c r="Q932" s="28"/>
      <c r="T932" s="28"/>
      <c r="V932" s="28"/>
      <c r="Y932" s="28"/>
    </row>
    <row r="933">
      <c r="N933" s="28"/>
      <c r="Q933" s="28"/>
      <c r="T933" s="28"/>
      <c r="V933" s="28"/>
      <c r="Y933" s="28"/>
    </row>
    <row r="934">
      <c r="N934" s="28"/>
      <c r="Q934" s="28"/>
      <c r="T934" s="28"/>
      <c r="V934" s="28"/>
      <c r="Y934" s="28"/>
    </row>
    <row r="935">
      <c r="N935" s="28"/>
      <c r="Q935" s="28"/>
      <c r="T935" s="28"/>
      <c r="V935" s="28"/>
      <c r="Y935" s="28"/>
    </row>
    <row r="936">
      <c r="N936" s="28"/>
      <c r="Q936" s="28"/>
      <c r="T936" s="28"/>
      <c r="V936" s="28"/>
      <c r="Y936" s="28"/>
    </row>
    <row r="937">
      <c r="N937" s="28"/>
      <c r="Q937" s="28"/>
      <c r="T937" s="28"/>
      <c r="V937" s="28"/>
      <c r="Y937" s="28"/>
    </row>
    <row r="938">
      <c r="N938" s="28"/>
      <c r="Q938" s="28"/>
      <c r="T938" s="28"/>
      <c r="V938" s="28"/>
      <c r="Y938" s="28"/>
    </row>
    <row r="939">
      <c r="N939" s="28"/>
      <c r="Q939" s="28"/>
      <c r="T939" s="28"/>
      <c r="V939" s="28"/>
      <c r="Y939" s="28"/>
    </row>
    <row r="940">
      <c r="N940" s="28"/>
      <c r="Q940" s="28"/>
      <c r="T940" s="28"/>
      <c r="V940" s="28"/>
      <c r="Y940" s="28"/>
    </row>
    <row r="941">
      <c r="N941" s="28"/>
      <c r="Q941" s="28"/>
      <c r="T941" s="28"/>
      <c r="V941" s="28"/>
      <c r="Y941" s="28"/>
    </row>
    <row r="942">
      <c r="N942" s="28"/>
      <c r="Q942" s="28"/>
      <c r="T942" s="28"/>
      <c r="V942" s="28"/>
      <c r="Y942" s="28"/>
    </row>
    <row r="943">
      <c r="N943" s="28"/>
      <c r="Q943" s="28"/>
      <c r="T943" s="28"/>
      <c r="V943" s="28"/>
      <c r="Y943" s="28"/>
    </row>
    <row r="944">
      <c r="N944" s="28"/>
      <c r="Q944" s="28"/>
      <c r="T944" s="28"/>
      <c r="V944" s="28"/>
      <c r="Y944" s="28"/>
    </row>
    <row r="945">
      <c r="N945" s="28"/>
      <c r="Q945" s="28"/>
      <c r="T945" s="28"/>
      <c r="V945" s="28"/>
      <c r="Y945" s="28"/>
    </row>
    <row r="946">
      <c r="N946" s="28"/>
      <c r="Q946" s="28"/>
      <c r="T946" s="28"/>
      <c r="V946" s="28"/>
      <c r="Y946" s="28"/>
    </row>
    <row r="947">
      <c r="N947" s="28"/>
      <c r="Q947" s="28"/>
      <c r="T947" s="28"/>
      <c r="V947" s="28"/>
      <c r="Y947" s="28"/>
    </row>
    <row r="948">
      <c r="N948" s="28"/>
      <c r="Q948" s="28"/>
      <c r="T948" s="28"/>
      <c r="V948" s="28"/>
      <c r="Y948" s="28"/>
    </row>
    <row r="949">
      <c r="N949" s="28"/>
      <c r="Q949" s="28"/>
      <c r="T949" s="28"/>
      <c r="V949" s="28"/>
      <c r="Y949" s="28"/>
    </row>
    <row r="950">
      <c r="N950" s="28"/>
      <c r="Q950" s="28"/>
      <c r="T950" s="28"/>
      <c r="V950" s="28"/>
      <c r="Y950" s="28"/>
    </row>
    <row r="951">
      <c r="N951" s="28"/>
      <c r="Q951" s="28"/>
      <c r="T951" s="28"/>
      <c r="V951" s="28"/>
      <c r="Y951" s="28"/>
    </row>
    <row r="952">
      <c r="N952" s="28"/>
      <c r="Q952" s="28"/>
      <c r="T952" s="28"/>
      <c r="V952" s="28"/>
      <c r="Y952" s="28"/>
    </row>
    <row r="953">
      <c r="N953" s="28"/>
      <c r="Q953" s="28"/>
      <c r="T953" s="28"/>
      <c r="V953" s="28"/>
      <c r="Y953" s="28"/>
    </row>
    <row r="954">
      <c r="N954" s="28"/>
      <c r="Q954" s="28"/>
      <c r="T954" s="28"/>
      <c r="V954" s="28"/>
      <c r="Y954" s="28"/>
    </row>
    <row r="955">
      <c r="N955" s="28"/>
      <c r="Q955" s="28"/>
      <c r="T955" s="28"/>
      <c r="V955" s="28"/>
      <c r="Y955" s="28"/>
    </row>
    <row r="956">
      <c r="N956" s="28"/>
      <c r="Q956" s="28"/>
      <c r="T956" s="28"/>
      <c r="V956" s="28"/>
      <c r="Y956" s="28"/>
    </row>
    <row r="957">
      <c r="N957" s="28"/>
      <c r="Q957" s="28"/>
      <c r="T957" s="28"/>
      <c r="V957" s="28"/>
      <c r="Y957" s="28"/>
    </row>
    <row r="958">
      <c r="N958" s="28"/>
      <c r="Q958" s="28"/>
      <c r="T958" s="28"/>
      <c r="V958" s="28"/>
      <c r="Y958" s="28"/>
    </row>
    <row r="959">
      <c r="N959" s="28"/>
      <c r="Q959" s="28"/>
      <c r="T959" s="28"/>
      <c r="V959" s="28"/>
      <c r="Y959" s="28"/>
    </row>
    <row r="960">
      <c r="N960" s="28"/>
      <c r="Q960" s="28"/>
      <c r="T960" s="28"/>
      <c r="V960" s="28"/>
      <c r="Y960" s="28"/>
    </row>
    <row r="961">
      <c r="N961" s="28"/>
      <c r="Q961" s="28"/>
      <c r="T961" s="28"/>
      <c r="V961" s="28"/>
      <c r="Y961" s="28"/>
    </row>
    <row r="962">
      <c r="N962" s="28"/>
      <c r="Q962" s="28"/>
      <c r="T962" s="28"/>
      <c r="V962" s="28"/>
      <c r="Y962" s="28"/>
    </row>
    <row r="963">
      <c r="N963" s="28"/>
      <c r="Q963" s="28"/>
      <c r="T963" s="28"/>
      <c r="V963" s="28"/>
      <c r="Y963" s="28"/>
    </row>
    <row r="964">
      <c r="N964" s="28"/>
      <c r="Q964" s="28"/>
      <c r="T964" s="28"/>
      <c r="V964" s="28"/>
      <c r="Y964" s="28"/>
    </row>
    <row r="965">
      <c r="N965" s="28"/>
      <c r="Q965" s="28"/>
      <c r="T965" s="28"/>
      <c r="V965" s="28"/>
      <c r="Y965" s="28"/>
    </row>
    <row r="966">
      <c r="N966" s="28"/>
      <c r="Q966" s="28"/>
      <c r="T966" s="28"/>
      <c r="V966" s="28"/>
      <c r="Y966" s="28"/>
    </row>
    <row r="967">
      <c r="N967" s="28"/>
      <c r="Q967" s="28"/>
      <c r="T967" s="28"/>
      <c r="V967" s="28"/>
      <c r="Y967" s="28"/>
    </row>
    <row r="968">
      <c r="N968" s="28"/>
      <c r="Q968" s="28"/>
      <c r="T968" s="28"/>
      <c r="V968" s="28"/>
      <c r="Y968" s="28"/>
    </row>
    <row r="969">
      <c r="N969" s="28"/>
      <c r="Q969" s="28"/>
      <c r="T969" s="28"/>
      <c r="V969" s="28"/>
      <c r="Y969" s="28"/>
    </row>
    <row r="970">
      <c r="N970" s="28"/>
      <c r="Q970" s="28"/>
      <c r="T970" s="28"/>
      <c r="V970" s="28"/>
      <c r="Y970" s="28"/>
    </row>
    <row r="971">
      <c r="N971" s="28"/>
      <c r="Q971" s="28"/>
      <c r="T971" s="28"/>
      <c r="V971" s="28"/>
      <c r="Y971" s="28"/>
    </row>
    <row r="972">
      <c r="N972" s="28"/>
      <c r="Q972" s="28"/>
      <c r="T972" s="28"/>
      <c r="V972" s="28"/>
      <c r="Y972" s="28"/>
    </row>
    <row r="973">
      <c r="N973" s="28"/>
      <c r="Q973" s="28"/>
      <c r="T973" s="28"/>
      <c r="V973" s="28"/>
      <c r="Y973" s="28"/>
    </row>
    <row r="974">
      <c r="N974" s="28"/>
      <c r="Q974" s="28"/>
      <c r="T974" s="28"/>
      <c r="V974" s="28"/>
      <c r="Y974" s="28"/>
    </row>
    <row r="975">
      <c r="N975" s="28"/>
      <c r="Q975" s="28"/>
      <c r="T975" s="28"/>
      <c r="V975" s="28"/>
      <c r="Y975" s="28"/>
    </row>
    <row r="976">
      <c r="N976" s="28"/>
      <c r="Q976" s="28"/>
      <c r="T976" s="28"/>
      <c r="V976" s="28"/>
      <c r="Y976" s="28"/>
    </row>
    <row r="977">
      <c r="N977" s="28"/>
      <c r="Q977" s="28"/>
      <c r="T977" s="28"/>
      <c r="V977" s="28"/>
      <c r="Y977" s="28"/>
    </row>
    <row r="978">
      <c r="N978" s="28"/>
      <c r="Q978" s="28"/>
      <c r="T978" s="28"/>
      <c r="V978" s="28"/>
      <c r="Y978" s="28"/>
    </row>
    <row r="979">
      <c r="N979" s="28"/>
      <c r="Q979" s="28"/>
      <c r="T979" s="28"/>
      <c r="V979" s="28"/>
      <c r="Y979" s="28"/>
    </row>
    <row r="980">
      <c r="N980" s="28"/>
      <c r="Q980" s="28"/>
      <c r="T980" s="28"/>
      <c r="V980" s="28"/>
      <c r="Y980" s="28"/>
    </row>
    <row r="981">
      <c r="N981" s="28"/>
      <c r="Q981" s="28"/>
      <c r="T981" s="28"/>
      <c r="V981" s="28"/>
      <c r="Y981" s="28"/>
    </row>
    <row r="982">
      <c r="N982" s="28"/>
      <c r="Q982" s="28"/>
      <c r="T982" s="28"/>
      <c r="V982" s="28"/>
      <c r="Y982" s="28"/>
    </row>
    <row r="983">
      <c r="N983" s="28"/>
      <c r="Q983" s="28"/>
      <c r="T983" s="28"/>
      <c r="V983" s="28"/>
      <c r="Y983" s="28"/>
    </row>
    <row r="984">
      <c r="N984" s="28"/>
      <c r="Q984" s="28"/>
      <c r="T984" s="28"/>
      <c r="V984" s="28"/>
      <c r="Y984" s="28"/>
    </row>
    <row r="985">
      <c r="N985" s="28"/>
      <c r="Q985" s="28"/>
      <c r="T985" s="28"/>
      <c r="V985" s="28"/>
      <c r="Y985" s="28"/>
    </row>
    <row r="986">
      <c r="N986" s="28"/>
      <c r="Q986" s="28"/>
      <c r="T986" s="28"/>
      <c r="V986" s="28"/>
      <c r="Y986" s="28"/>
    </row>
    <row r="987">
      <c r="N987" s="28"/>
      <c r="Q987" s="28"/>
      <c r="T987" s="28"/>
      <c r="V987" s="28"/>
      <c r="Y987" s="28"/>
    </row>
    <row r="988">
      <c r="N988" s="28"/>
      <c r="Q988" s="28"/>
      <c r="T988" s="28"/>
      <c r="V988" s="28"/>
      <c r="Y988" s="28"/>
    </row>
    <row r="989">
      <c r="N989" s="28"/>
      <c r="Q989" s="28"/>
      <c r="T989" s="28"/>
      <c r="V989" s="28"/>
      <c r="Y989" s="28"/>
    </row>
    <row r="990">
      <c r="N990" s="28"/>
      <c r="Q990" s="28"/>
      <c r="T990" s="28"/>
      <c r="V990" s="28"/>
      <c r="Y990" s="28"/>
    </row>
    <row r="991">
      <c r="N991" s="28"/>
      <c r="Q991" s="28"/>
      <c r="T991" s="28"/>
      <c r="V991" s="28"/>
      <c r="Y991" s="28"/>
    </row>
    <row r="992">
      <c r="N992" s="28"/>
      <c r="Q992" s="28"/>
      <c r="T992" s="28"/>
      <c r="V992" s="28"/>
      <c r="Y992" s="28"/>
    </row>
    <row r="993">
      <c r="N993" s="28"/>
      <c r="Q993" s="28"/>
      <c r="T993" s="28"/>
      <c r="V993" s="28"/>
      <c r="Y993" s="28"/>
    </row>
    <row r="994">
      <c r="N994" s="28"/>
      <c r="Q994" s="28"/>
      <c r="T994" s="28"/>
      <c r="V994" s="28"/>
      <c r="Y994" s="28"/>
    </row>
    <row r="995">
      <c r="N995" s="28"/>
      <c r="Q995" s="28"/>
      <c r="T995" s="28"/>
      <c r="V995" s="28"/>
      <c r="Y995" s="28"/>
    </row>
    <row r="996">
      <c r="N996" s="28"/>
      <c r="Q996" s="28"/>
      <c r="T996" s="28"/>
      <c r="V996" s="28"/>
      <c r="Y996" s="28"/>
    </row>
    <row r="997">
      <c r="N997" s="28"/>
      <c r="Q997" s="28"/>
      <c r="T997" s="28"/>
      <c r="V997" s="28"/>
      <c r="Y997" s="28"/>
    </row>
    <row r="998">
      <c r="N998" s="28"/>
      <c r="Q998" s="28"/>
      <c r="T998" s="28"/>
      <c r="V998" s="28"/>
      <c r="Y998" s="28"/>
    </row>
    <row r="999">
      <c r="N999" s="28"/>
      <c r="Q999" s="28"/>
      <c r="T999" s="28"/>
      <c r="V999" s="28"/>
      <c r="Y999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</v>
      </c>
      <c r="C1" s="3" t="s">
        <v>8</v>
      </c>
      <c r="D1" s="2" t="s">
        <v>13</v>
      </c>
      <c r="E1" s="3" t="s">
        <v>14</v>
      </c>
      <c r="F1" s="3" t="s">
        <v>22</v>
      </c>
      <c r="G1" s="2" t="s">
        <v>23</v>
      </c>
      <c r="H1" s="4" t="s">
        <v>26</v>
      </c>
      <c r="I1" s="2" t="s">
        <v>27</v>
      </c>
      <c r="J1" s="7" t="s">
        <v>94</v>
      </c>
      <c r="K1" s="7" t="s">
        <v>95</v>
      </c>
    </row>
    <row r="2">
      <c r="A2" s="29">
        <v>1.0</v>
      </c>
      <c r="B2" s="9" t="s">
        <v>30</v>
      </c>
      <c r="C2" s="10">
        <v>140.0</v>
      </c>
      <c r="D2" s="9">
        <v>256.0</v>
      </c>
      <c r="E2" s="10">
        <v>114.0</v>
      </c>
      <c r="F2" s="10">
        <v>91.0</v>
      </c>
      <c r="G2" s="9">
        <v>199.0</v>
      </c>
      <c r="H2" s="12">
        <v>51.0</v>
      </c>
      <c r="I2" s="9">
        <v>104.0</v>
      </c>
      <c r="J2" s="8">
        <f t="shared" ref="J2:J21" si="1">SUM(B2:I2)</f>
        <v>955</v>
      </c>
      <c r="K2" s="8">
        <f t="shared" ref="K2:K21" si="2">J2/10</f>
        <v>95.5</v>
      </c>
    </row>
    <row r="3">
      <c r="A3" s="29">
        <v>2.0</v>
      </c>
      <c r="B3" s="9">
        <v>145.0</v>
      </c>
      <c r="C3" s="10">
        <v>215.0</v>
      </c>
      <c r="D3" s="9">
        <v>222.0</v>
      </c>
      <c r="E3" s="10" t="s">
        <v>30</v>
      </c>
      <c r="F3" s="10">
        <v>93.0</v>
      </c>
      <c r="G3" s="9">
        <v>217.0</v>
      </c>
      <c r="H3" s="12">
        <v>67.0</v>
      </c>
      <c r="I3" s="9">
        <v>131.0</v>
      </c>
      <c r="J3" s="8">
        <f t="shared" si="1"/>
        <v>1090</v>
      </c>
      <c r="K3" s="8">
        <f t="shared" si="2"/>
        <v>109</v>
      </c>
    </row>
    <row r="4">
      <c r="A4" s="29">
        <v>3.0</v>
      </c>
      <c r="B4" s="9" t="s">
        <v>30</v>
      </c>
      <c r="C4" s="10">
        <v>150.0</v>
      </c>
      <c r="D4" s="9">
        <v>289.0</v>
      </c>
      <c r="E4" s="10">
        <v>131.0</v>
      </c>
      <c r="F4" s="10">
        <v>110.0</v>
      </c>
      <c r="G4" s="9">
        <v>240.0</v>
      </c>
      <c r="H4" s="12">
        <v>72.0</v>
      </c>
      <c r="I4" s="9">
        <v>124.0</v>
      </c>
      <c r="J4" s="8">
        <f t="shared" si="1"/>
        <v>1116</v>
      </c>
      <c r="K4" s="8">
        <f t="shared" si="2"/>
        <v>111.6</v>
      </c>
    </row>
    <row r="5">
      <c r="A5" s="7">
        <v>4.0</v>
      </c>
      <c r="B5" s="9">
        <v>163.0</v>
      </c>
      <c r="C5" s="10">
        <v>310.0</v>
      </c>
      <c r="D5" s="9">
        <v>458.0</v>
      </c>
      <c r="E5" s="10">
        <v>179.0</v>
      </c>
      <c r="F5" s="10">
        <v>94.0</v>
      </c>
      <c r="G5" s="9">
        <v>200.0</v>
      </c>
      <c r="H5" s="12">
        <v>69.0</v>
      </c>
      <c r="I5" s="9">
        <v>130.0</v>
      </c>
      <c r="J5" s="8">
        <f t="shared" si="1"/>
        <v>1603</v>
      </c>
      <c r="K5" s="8">
        <f t="shared" si="2"/>
        <v>160.3</v>
      </c>
    </row>
    <row r="6">
      <c r="A6" s="7">
        <v>5.0</v>
      </c>
      <c r="B6" s="9">
        <v>170.0</v>
      </c>
      <c r="C6" s="10">
        <v>333.0</v>
      </c>
      <c r="D6" s="9">
        <v>482.0</v>
      </c>
      <c r="E6" s="10">
        <v>142.0</v>
      </c>
      <c r="F6" s="10">
        <v>111.0</v>
      </c>
      <c r="G6" s="9">
        <v>236.0</v>
      </c>
      <c r="H6" s="12">
        <v>66.0</v>
      </c>
      <c r="I6" s="9">
        <v>135.0</v>
      </c>
      <c r="J6" s="8">
        <f t="shared" si="1"/>
        <v>1675</v>
      </c>
      <c r="K6" s="8">
        <f t="shared" si="2"/>
        <v>167.5</v>
      </c>
    </row>
    <row r="7">
      <c r="A7" s="7">
        <v>6.0</v>
      </c>
      <c r="B7" s="9">
        <v>203.0</v>
      </c>
      <c r="C7" s="10">
        <v>384.0</v>
      </c>
      <c r="D7" s="9">
        <v>532.0</v>
      </c>
      <c r="E7" s="10">
        <v>151.0</v>
      </c>
      <c r="F7" s="10">
        <v>109.0</v>
      </c>
      <c r="G7" s="9">
        <v>233.0</v>
      </c>
      <c r="H7" s="12">
        <v>66.0</v>
      </c>
      <c r="I7" s="9">
        <v>124.0</v>
      </c>
      <c r="J7" s="8">
        <f t="shared" si="1"/>
        <v>1802</v>
      </c>
      <c r="K7" s="8">
        <f t="shared" si="2"/>
        <v>180.2</v>
      </c>
    </row>
    <row r="8">
      <c r="A8" s="7">
        <v>7.0</v>
      </c>
      <c r="B8" s="9">
        <v>185.0</v>
      </c>
      <c r="C8" s="10">
        <v>339.0</v>
      </c>
      <c r="D8" s="9">
        <v>467.0</v>
      </c>
      <c r="E8" s="10">
        <v>131.0</v>
      </c>
      <c r="F8" s="10">
        <v>139.0</v>
      </c>
      <c r="G8" s="9">
        <v>260.0</v>
      </c>
      <c r="H8" s="12">
        <v>58.0</v>
      </c>
      <c r="I8" s="9">
        <v>113.0</v>
      </c>
      <c r="J8" s="8">
        <f t="shared" si="1"/>
        <v>1692</v>
      </c>
      <c r="K8" s="8">
        <f t="shared" si="2"/>
        <v>169.2</v>
      </c>
    </row>
    <row r="9">
      <c r="A9" s="7">
        <v>8.0</v>
      </c>
      <c r="B9" s="9">
        <v>140.0</v>
      </c>
      <c r="C9" s="10">
        <v>272.0</v>
      </c>
      <c r="D9" s="9">
        <v>390.0</v>
      </c>
      <c r="E9" s="10">
        <v>166.0</v>
      </c>
      <c r="F9" s="10">
        <v>132.0</v>
      </c>
      <c r="G9" s="9">
        <v>250.0</v>
      </c>
      <c r="H9" s="12">
        <v>61.0</v>
      </c>
      <c r="I9" s="9">
        <v>116.0</v>
      </c>
      <c r="J9" s="8">
        <f t="shared" si="1"/>
        <v>1527</v>
      </c>
      <c r="K9" s="8">
        <f t="shared" si="2"/>
        <v>152.7</v>
      </c>
    </row>
    <row r="10">
      <c r="A10" s="7">
        <v>9.0</v>
      </c>
      <c r="B10" s="9">
        <v>130.0</v>
      </c>
      <c r="C10" s="10">
        <v>280.0</v>
      </c>
      <c r="D10" s="9">
        <v>418.0</v>
      </c>
      <c r="E10" s="10">
        <v>159.0</v>
      </c>
      <c r="F10" s="10">
        <v>120.0</v>
      </c>
      <c r="G10" s="9">
        <v>233.0</v>
      </c>
      <c r="H10" s="12">
        <v>47.0</v>
      </c>
      <c r="I10" s="9">
        <v>93.0</v>
      </c>
      <c r="J10" s="8">
        <f t="shared" si="1"/>
        <v>1480</v>
      </c>
      <c r="K10" s="8">
        <f t="shared" si="2"/>
        <v>148</v>
      </c>
    </row>
    <row r="11">
      <c r="A11" s="7">
        <v>10.0</v>
      </c>
      <c r="B11" s="9">
        <v>151.0</v>
      </c>
      <c r="C11" s="10">
        <v>298.0</v>
      </c>
      <c r="D11" s="9">
        <v>435.0</v>
      </c>
      <c r="E11" s="10">
        <v>150.0</v>
      </c>
      <c r="F11" s="10">
        <v>116.0</v>
      </c>
      <c r="G11" s="9">
        <v>237.0</v>
      </c>
      <c r="H11" s="12">
        <v>77.0</v>
      </c>
      <c r="I11" s="9">
        <v>144.0</v>
      </c>
      <c r="J11" s="8">
        <f t="shared" si="1"/>
        <v>1608</v>
      </c>
      <c r="K11" s="8">
        <f t="shared" si="2"/>
        <v>160.8</v>
      </c>
    </row>
    <row r="12">
      <c r="A12" s="7">
        <v>11.0</v>
      </c>
      <c r="B12" s="9">
        <v>140.0</v>
      </c>
      <c r="C12" s="10">
        <v>276.0</v>
      </c>
      <c r="D12" s="9">
        <v>423.0</v>
      </c>
      <c r="E12" s="10">
        <v>148.0</v>
      </c>
      <c r="F12" s="10">
        <v>85.0</v>
      </c>
      <c r="G12" s="9">
        <v>169.0</v>
      </c>
      <c r="H12" s="12">
        <v>62.0</v>
      </c>
      <c r="I12" s="9">
        <v>131.0</v>
      </c>
      <c r="J12" s="8">
        <f t="shared" si="1"/>
        <v>1434</v>
      </c>
      <c r="K12" s="8">
        <f t="shared" si="2"/>
        <v>143.4</v>
      </c>
    </row>
    <row r="13">
      <c r="A13" s="7">
        <v>12.0</v>
      </c>
      <c r="B13" s="9">
        <v>66.0</v>
      </c>
      <c r="C13" s="10">
        <v>232.0</v>
      </c>
      <c r="D13" s="9">
        <v>371.0</v>
      </c>
      <c r="E13" s="10">
        <v>174.0</v>
      </c>
      <c r="F13" s="10">
        <v>162.0</v>
      </c>
      <c r="G13" s="9">
        <v>302.0</v>
      </c>
      <c r="H13" s="12">
        <v>93.0</v>
      </c>
      <c r="I13" s="9">
        <v>187.0</v>
      </c>
      <c r="J13" s="8">
        <f t="shared" si="1"/>
        <v>1587</v>
      </c>
      <c r="K13" s="8">
        <f t="shared" si="2"/>
        <v>158.7</v>
      </c>
    </row>
    <row r="14">
      <c r="A14" s="7">
        <v>13.0</v>
      </c>
      <c r="B14" s="9">
        <v>177.0</v>
      </c>
      <c r="C14" s="10">
        <v>333.0</v>
      </c>
      <c r="D14" s="9">
        <v>489.0</v>
      </c>
      <c r="E14" s="10">
        <v>161.0</v>
      </c>
      <c r="F14" s="10">
        <v>129.0</v>
      </c>
      <c r="G14" s="9">
        <v>258.0</v>
      </c>
      <c r="H14" s="12">
        <v>86.0</v>
      </c>
      <c r="I14" s="9">
        <v>158.0</v>
      </c>
      <c r="J14" s="8">
        <f t="shared" si="1"/>
        <v>1791</v>
      </c>
      <c r="K14" s="8">
        <f t="shared" si="2"/>
        <v>179.1</v>
      </c>
    </row>
    <row r="15">
      <c r="A15" s="7">
        <v>14.0</v>
      </c>
      <c r="B15" s="9">
        <v>68.0</v>
      </c>
      <c r="C15" s="10">
        <v>204.0</v>
      </c>
      <c r="D15" s="9">
        <v>405.0</v>
      </c>
      <c r="E15" s="10">
        <v>178.0</v>
      </c>
      <c r="F15" s="10">
        <v>146.0</v>
      </c>
      <c r="G15" s="9">
        <v>271.0</v>
      </c>
      <c r="H15" s="12">
        <v>79.0</v>
      </c>
      <c r="I15" s="9">
        <v>137.0</v>
      </c>
      <c r="J15" s="8">
        <f t="shared" si="1"/>
        <v>1488</v>
      </c>
      <c r="K15" s="8">
        <f t="shared" si="2"/>
        <v>148.8</v>
      </c>
    </row>
    <row r="16">
      <c r="A16" s="7">
        <v>15.0</v>
      </c>
      <c r="B16" s="9">
        <v>172.0</v>
      </c>
      <c r="C16" s="10">
        <v>314.0</v>
      </c>
      <c r="D16" s="9">
        <v>443.0</v>
      </c>
      <c r="E16" s="10">
        <v>139.0</v>
      </c>
      <c r="F16" s="10">
        <v>95.0</v>
      </c>
      <c r="G16" s="9">
        <v>225.0</v>
      </c>
      <c r="H16" s="12">
        <v>656.0</v>
      </c>
      <c r="I16" s="9">
        <v>133.0</v>
      </c>
      <c r="J16" s="8">
        <f t="shared" si="1"/>
        <v>2177</v>
      </c>
      <c r="K16" s="8">
        <f t="shared" si="2"/>
        <v>217.7</v>
      </c>
    </row>
    <row r="17">
      <c r="A17" s="7">
        <v>16.0</v>
      </c>
      <c r="B17" s="9">
        <v>221.0</v>
      </c>
      <c r="C17" s="10">
        <v>414.0</v>
      </c>
      <c r="D17" s="9">
        <v>579.0</v>
      </c>
      <c r="E17" s="10" t="s">
        <v>46</v>
      </c>
      <c r="F17" s="10">
        <v>150.0</v>
      </c>
      <c r="G17" s="9">
        <v>319.0</v>
      </c>
      <c r="H17" s="12">
        <v>81.0</v>
      </c>
      <c r="I17" s="9">
        <v>158.0</v>
      </c>
      <c r="J17" s="8">
        <f t="shared" si="1"/>
        <v>1922</v>
      </c>
      <c r="K17" s="8">
        <f t="shared" si="2"/>
        <v>192.2</v>
      </c>
    </row>
    <row r="18">
      <c r="A18" s="7">
        <v>17.0</v>
      </c>
      <c r="B18" s="9">
        <v>201.0</v>
      </c>
      <c r="C18" s="10">
        <v>371.0</v>
      </c>
      <c r="D18" s="9">
        <v>534.0</v>
      </c>
      <c r="E18" s="10">
        <v>166.0</v>
      </c>
      <c r="F18" s="10">
        <v>164.0</v>
      </c>
      <c r="G18" s="9">
        <v>324.0</v>
      </c>
      <c r="H18" s="12">
        <v>102.0</v>
      </c>
      <c r="I18" s="9">
        <v>214.0</v>
      </c>
      <c r="J18" s="8">
        <f t="shared" si="1"/>
        <v>2076</v>
      </c>
      <c r="K18" s="8">
        <f t="shared" si="2"/>
        <v>207.6</v>
      </c>
    </row>
    <row r="19">
      <c r="A19" s="7">
        <v>18.0</v>
      </c>
      <c r="B19" s="9">
        <v>140.0</v>
      </c>
      <c r="C19" s="10">
        <v>302.0</v>
      </c>
      <c r="D19" s="9">
        <v>444.0</v>
      </c>
      <c r="E19" s="10">
        <v>154.0</v>
      </c>
      <c r="F19" s="10">
        <v>161.0</v>
      </c>
      <c r="G19" s="9">
        <v>315.0</v>
      </c>
      <c r="H19" s="12">
        <v>89.0</v>
      </c>
      <c r="I19" s="9">
        <v>160.0</v>
      </c>
      <c r="J19" s="8">
        <f t="shared" si="1"/>
        <v>1765</v>
      </c>
      <c r="K19" s="8">
        <f t="shared" si="2"/>
        <v>176.5</v>
      </c>
    </row>
    <row r="20">
      <c r="A20" s="7">
        <v>19.0</v>
      </c>
      <c r="B20" s="9">
        <v>120.0</v>
      </c>
      <c r="C20" s="10">
        <v>262.0</v>
      </c>
      <c r="D20" s="9">
        <v>415.0</v>
      </c>
      <c r="E20" s="10">
        <v>144.0</v>
      </c>
      <c r="F20" s="10">
        <v>152.0</v>
      </c>
      <c r="G20" s="9">
        <v>287.0</v>
      </c>
      <c r="H20" s="12">
        <v>72.0</v>
      </c>
      <c r="I20" s="9">
        <v>133.0</v>
      </c>
      <c r="J20" s="8">
        <f t="shared" si="1"/>
        <v>1585</v>
      </c>
      <c r="K20" s="8">
        <f t="shared" si="2"/>
        <v>158.5</v>
      </c>
    </row>
    <row r="21">
      <c r="A21" s="7">
        <v>20.0</v>
      </c>
      <c r="B21" s="9">
        <v>181.0</v>
      </c>
      <c r="C21" s="10">
        <v>340.0</v>
      </c>
      <c r="D21" s="9">
        <v>509.0</v>
      </c>
      <c r="E21" s="10">
        <v>200.0</v>
      </c>
      <c r="F21" s="10">
        <v>143.0</v>
      </c>
      <c r="G21" s="9">
        <v>285.0</v>
      </c>
      <c r="H21" s="12">
        <v>69.0</v>
      </c>
      <c r="I21" s="9">
        <v>128.0</v>
      </c>
      <c r="J21" s="8">
        <f t="shared" si="1"/>
        <v>1855</v>
      </c>
      <c r="K21" s="8">
        <f t="shared" si="2"/>
        <v>185.5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96</v>
      </c>
      <c r="B1" s="1" t="s">
        <v>0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30"/>
      <c r="S1" s="30"/>
      <c r="T1" s="30"/>
      <c r="U1" s="30"/>
      <c r="V1" s="30"/>
      <c r="W1" s="30"/>
      <c r="X1" s="30"/>
      <c r="Y1" s="30"/>
      <c r="Z1" s="30"/>
    </row>
    <row r="2">
      <c r="A2" s="31">
        <v>45979.0</v>
      </c>
      <c r="B2" s="32">
        <v>1.0</v>
      </c>
      <c r="C2" s="32">
        <v>1.0</v>
      </c>
      <c r="D2" s="32" t="s">
        <v>102</v>
      </c>
      <c r="E2" s="32">
        <v>32.12</v>
      </c>
      <c r="F2" s="32"/>
      <c r="G2" s="32" t="s">
        <v>103</v>
      </c>
    </row>
    <row r="3">
      <c r="A3" s="31">
        <v>45979.0</v>
      </c>
      <c r="B3" s="32">
        <v>1.0</v>
      </c>
      <c r="C3" s="32">
        <v>2.0</v>
      </c>
      <c r="D3" s="32" t="s">
        <v>102</v>
      </c>
      <c r="E3" s="32">
        <v>29.22</v>
      </c>
      <c r="F3" s="32"/>
      <c r="G3" s="33"/>
      <c r="H3" s="7"/>
      <c r="I3" s="7"/>
      <c r="J3" s="7"/>
      <c r="K3" s="7"/>
      <c r="L3" s="7"/>
      <c r="M3" s="7"/>
      <c r="N3" s="7"/>
    </row>
    <row r="4">
      <c r="A4" s="31">
        <v>45979.0</v>
      </c>
      <c r="B4" s="32">
        <v>1.0</v>
      </c>
      <c r="C4" s="32">
        <v>3.0</v>
      </c>
      <c r="D4" s="32" t="s">
        <v>102</v>
      </c>
      <c r="E4" s="32">
        <v>30.16</v>
      </c>
      <c r="F4" s="32"/>
      <c r="G4" s="33"/>
      <c r="H4" s="7"/>
      <c r="I4" s="7"/>
      <c r="J4" s="7"/>
      <c r="K4" s="7"/>
      <c r="L4" s="7"/>
      <c r="M4" s="7"/>
      <c r="N4" s="7"/>
    </row>
    <row r="5">
      <c r="A5" s="31">
        <v>45979.0</v>
      </c>
      <c r="B5" s="32">
        <v>1.0</v>
      </c>
      <c r="C5" s="32">
        <v>4.0</v>
      </c>
      <c r="D5" s="32" t="s">
        <v>102</v>
      </c>
      <c r="E5" s="32">
        <v>30.15</v>
      </c>
      <c r="F5" s="32"/>
      <c r="G5" s="33"/>
      <c r="H5" s="7"/>
      <c r="I5" s="7"/>
      <c r="J5" s="7"/>
      <c r="K5" s="7"/>
      <c r="L5" s="7"/>
      <c r="M5" s="7"/>
      <c r="N5" s="7"/>
    </row>
    <row r="6">
      <c r="A6" s="31">
        <v>45979.0</v>
      </c>
      <c r="B6" s="32">
        <v>2.0</v>
      </c>
      <c r="C6" s="32">
        <v>1.0</v>
      </c>
      <c r="D6" s="32" t="s">
        <v>104</v>
      </c>
      <c r="E6" s="32">
        <v>26.98</v>
      </c>
      <c r="F6" s="32"/>
      <c r="G6" s="32" t="s">
        <v>103</v>
      </c>
      <c r="H6" s="7"/>
      <c r="I6" s="7"/>
      <c r="J6" s="7"/>
      <c r="K6" s="7"/>
      <c r="L6" s="7"/>
      <c r="M6" s="7"/>
      <c r="N6" s="7"/>
    </row>
    <row r="7">
      <c r="A7" s="31">
        <v>45979.0</v>
      </c>
      <c r="B7" s="32">
        <v>2.0</v>
      </c>
      <c r="C7" s="32">
        <v>2.0</v>
      </c>
      <c r="D7" s="32" t="s">
        <v>104</v>
      </c>
      <c r="E7" s="32">
        <v>30.16</v>
      </c>
      <c r="F7" s="32"/>
      <c r="G7" s="33"/>
      <c r="H7" s="7"/>
      <c r="I7" s="7"/>
      <c r="J7" s="7"/>
      <c r="K7" s="7"/>
      <c r="L7" s="7"/>
      <c r="M7" s="7"/>
      <c r="N7" s="7"/>
    </row>
    <row r="8">
      <c r="A8" s="31">
        <v>45979.0</v>
      </c>
      <c r="B8" s="32">
        <v>2.0</v>
      </c>
      <c r="C8" s="32">
        <v>3.0</v>
      </c>
      <c r="D8" s="32" t="s">
        <v>104</v>
      </c>
      <c r="E8" s="32">
        <v>25.57</v>
      </c>
      <c r="F8" s="32"/>
      <c r="G8" s="33"/>
      <c r="H8" s="7"/>
      <c r="I8" s="7"/>
      <c r="J8" s="7"/>
      <c r="K8" s="7"/>
      <c r="L8" s="7"/>
      <c r="M8" s="7"/>
      <c r="N8" s="7"/>
    </row>
    <row r="9">
      <c r="A9" s="31">
        <v>45979.0</v>
      </c>
      <c r="B9" s="32">
        <v>2.0</v>
      </c>
      <c r="C9" s="32">
        <v>4.0</v>
      </c>
      <c r="D9" s="32" t="s">
        <v>104</v>
      </c>
      <c r="E9" s="32">
        <v>28.89</v>
      </c>
      <c r="F9" s="32"/>
      <c r="G9" s="33"/>
      <c r="H9" s="7"/>
      <c r="I9" s="7"/>
      <c r="J9" s="7"/>
      <c r="K9" s="7"/>
      <c r="L9" s="7"/>
      <c r="M9" s="7"/>
      <c r="N9" s="7"/>
    </row>
    <row r="10">
      <c r="A10" s="34">
        <v>45980.0</v>
      </c>
      <c r="B10" s="35">
        <v>1.0</v>
      </c>
      <c r="C10" s="35">
        <v>1.0</v>
      </c>
      <c r="D10" s="35" t="s">
        <v>102</v>
      </c>
      <c r="E10" s="35">
        <v>32.65</v>
      </c>
      <c r="F10" s="35">
        <f t="shared" ref="F10:F49" si="1">E10-E2</f>
        <v>0.53</v>
      </c>
      <c r="G10" s="35" t="s">
        <v>103</v>
      </c>
      <c r="H10" s="7"/>
      <c r="I10" s="7"/>
      <c r="J10" s="7"/>
      <c r="K10" s="7"/>
      <c r="L10" s="7"/>
      <c r="M10" s="7"/>
      <c r="N10" s="7"/>
    </row>
    <row r="11">
      <c r="A11" s="34">
        <v>45980.0</v>
      </c>
      <c r="B11" s="35">
        <v>1.0</v>
      </c>
      <c r="C11" s="35">
        <v>2.0</v>
      </c>
      <c r="D11" s="35" t="s">
        <v>102</v>
      </c>
      <c r="E11" s="35">
        <v>30.04</v>
      </c>
      <c r="F11" s="35">
        <f t="shared" si="1"/>
        <v>0.82</v>
      </c>
      <c r="G11" s="35"/>
      <c r="H11" s="7"/>
      <c r="I11" s="7"/>
      <c r="J11" s="7"/>
      <c r="K11" s="7"/>
      <c r="L11" s="7"/>
      <c r="M11" s="7"/>
      <c r="N11" s="7"/>
    </row>
    <row r="12">
      <c r="A12" s="34">
        <v>45980.0</v>
      </c>
      <c r="B12" s="35">
        <v>1.0</v>
      </c>
      <c r="C12" s="35">
        <v>3.0</v>
      </c>
      <c r="D12" s="35" t="s">
        <v>102</v>
      </c>
      <c r="E12" s="35">
        <v>30.54</v>
      </c>
      <c r="F12" s="35">
        <f t="shared" si="1"/>
        <v>0.38</v>
      </c>
      <c r="G12" s="35"/>
      <c r="H12" s="7"/>
      <c r="I12" s="7"/>
      <c r="J12" s="7"/>
      <c r="K12" s="7"/>
      <c r="L12" s="7"/>
      <c r="M12" s="7"/>
      <c r="N12" s="7"/>
    </row>
    <row r="13">
      <c r="A13" s="34">
        <v>45980.0</v>
      </c>
      <c r="B13" s="35">
        <v>1.0</v>
      </c>
      <c r="C13" s="35">
        <v>4.0</v>
      </c>
      <c r="D13" s="35" t="s">
        <v>102</v>
      </c>
      <c r="E13" s="35">
        <v>30.6</v>
      </c>
      <c r="F13" s="35">
        <f t="shared" si="1"/>
        <v>0.45</v>
      </c>
      <c r="G13" s="35"/>
      <c r="H13" s="7"/>
      <c r="I13" s="7"/>
      <c r="J13" s="7"/>
      <c r="K13" s="7"/>
      <c r="M13" s="7"/>
    </row>
    <row r="14">
      <c r="A14" s="34">
        <v>45980.0</v>
      </c>
      <c r="B14" s="35">
        <v>2.0</v>
      </c>
      <c r="C14" s="35">
        <v>1.0</v>
      </c>
      <c r="D14" s="35" t="s">
        <v>104</v>
      </c>
      <c r="E14" s="35">
        <v>27.36</v>
      </c>
      <c r="F14" s="35">
        <f t="shared" si="1"/>
        <v>0.38</v>
      </c>
      <c r="G14" s="35" t="s">
        <v>103</v>
      </c>
      <c r="H14" s="7"/>
      <c r="I14" s="7"/>
      <c r="J14" s="7"/>
      <c r="K14" s="7"/>
      <c r="L14" s="7"/>
      <c r="M14" s="7"/>
      <c r="N14" s="7"/>
    </row>
    <row r="15">
      <c r="A15" s="34">
        <v>45980.0</v>
      </c>
      <c r="B15" s="35">
        <v>2.0</v>
      </c>
      <c r="C15" s="35">
        <v>2.0</v>
      </c>
      <c r="D15" s="35" t="s">
        <v>104</v>
      </c>
      <c r="E15" s="35">
        <v>30.9</v>
      </c>
      <c r="F15" s="35">
        <f t="shared" si="1"/>
        <v>0.74</v>
      </c>
      <c r="G15" s="35"/>
      <c r="H15" s="7"/>
      <c r="I15" s="7"/>
      <c r="J15" s="7"/>
      <c r="K15" s="7"/>
      <c r="L15" s="7"/>
      <c r="M15" s="7"/>
      <c r="N15" s="7"/>
    </row>
    <row r="16">
      <c r="A16" s="34">
        <v>45980.0</v>
      </c>
      <c r="B16" s="35">
        <v>2.0</v>
      </c>
      <c r="C16" s="35">
        <v>3.0</v>
      </c>
      <c r="D16" s="35" t="s">
        <v>104</v>
      </c>
      <c r="E16" s="35">
        <v>26.01</v>
      </c>
      <c r="F16" s="35">
        <f t="shared" si="1"/>
        <v>0.44</v>
      </c>
      <c r="G16" s="35"/>
      <c r="H16" s="7"/>
      <c r="I16" s="7"/>
      <c r="J16" s="7"/>
      <c r="K16" s="7"/>
      <c r="L16" s="7"/>
      <c r="M16" s="7"/>
      <c r="N16" s="7"/>
    </row>
    <row r="17">
      <c r="A17" s="34">
        <v>45980.0</v>
      </c>
      <c r="B17" s="35">
        <v>2.0</v>
      </c>
      <c r="C17" s="35">
        <v>4.0</v>
      </c>
      <c r="D17" s="35" t="s">
        <v>104</v>
      </c>
      <c r="E17" s="35">
        <v>29.45</v>
      </c>
      <c r="F17" s="35">
        <f t="shared" si="1"/>
        <v>0.56</v>
      </c>
      <c r="G17" s="35"/>
      <c r="H17" s="7"/>
      <c r="I17" s="7"/>
      <c r="J17" s="7"/>
      <c r="K17" s="7"/>
      <c r="L17" s="7"/>
      <c r="M17" s="7"/>
      <c r="N17" s="7"/>
    </row>
    <row r="18">
      <c r="A18" s="31">
        <v>45981.0</v>
      </c>
      <c r="B18" s="32">
        <v>1.0</v>
      </c>
      <c r="C18" s="32">
        <v>1.0</v>
      </c>
      <c r="D18" s="32" t="s">
        <v>102</v>
      </c>
      <c r="E18" s="32">
        <v>33.43</v>
      </c>
      <c r="F18" s="32">
        <f t="shared" si="1"/>
        <v>0.78</v>
      </c>
      <c r="G18" s="32" t="s">
        <v>103</v>
      </c>
      <c r="H18" s="7"/>
      <c r="I18" s="7"/>
      <c r="J18" s="7"/>
      <c r="K18" s="7"/>
      <c r="L18" s="7"/>
      <c r="M18" s="7"/>
      <c r="N18" s="7"/>
    </row>
    <row r="19">
      <c r="A19" s="31">
        <v>45981.0</v>
      </c>
      <c r="B19" s="32">
        <v>1.0</v>
      </c>
      <c r="C19" s="32">
        <v>2.0</v>
      </c>
      <c r="D19" s="32" t="s">
        <v>102</v>
      </c>
      <c r="E19" s="32">
        <v>31.21</v>
      </c>
      <c r="F19" s="32">
        <f t="shared" si="1"/>
        <v>1.17</v>
      </c>
      <c r="G19" s="33"/>
      <c r="H19" s="7"/>
      <c r="I19" s="7"/>
      <c r="J19" s="7"/>
      <c r="K19" s="7"/>
      <c r="L19" s="7"/>
      <c r="M19" s="7"/>
      <c r="N19" s="7"/>
    </row>
    <row r="20">
      <c r="A20" s="31">
        <v>45981.0</v>
      </c>
      <c r="B20" s="32">
        <v>1.0</v>
      </c>
      <c r="C20" s="32">
        <v>3.0</v>
      </c>
      <c r="D20" s="32" t="s">
        <v>102</v>
      </c>
      <c r="E20" s="32">
        <v>30.99</v>
      </c>
      <c r="F20" s="32">
        <f t="shared" si="1"/>
        <v>0.45</v>
      </c>
      <c r="G20" s="33"/>
      <c r="H20" s="7"/>
      <c r="I20" s="7"/>
      <c r="J20" s="7"/>
      <c r="K20" s="7"/>
      <c r="L20" s="7"/>
      <c r="M20" s="7"/>
      <c r="N20" s="7"/>
    </row>
    <row r="21">
      <c r="A21" s="31">
        <v>45981.0</v>
      </c>
      <c r="B21" s="32">
        <v>1.0</v>
      </c>
      <c r="C21" s="32">
        <v>4.0</v>
      </c>
      <c r="D21" s="32" t="s">
        <v>102</v>
      </c>
      <c r="E21" s="32">
        <v>30.95</v>
      </c>
      <c r="F21" s="32">
        <f t="shared" si="1"/>
        <v>0.35</v>
      </c>
      <c r="G21" s="33"/>
      <c r="H21" s="7"/>
      <c r="I21" s="7"/>
      <c r="J21" s="7"/>
      <c r="K21" s="7"/>
      <c r="L21" s="7"/>
      <c r="M21" s="7"/>
      <c r="N21" s="7"/>
    </row>
    <row r="22">
      <c r="A22" s="31">
        <v>45981.0</v>
      </c>
      <c r="B22" s="32">
        <v>2.0</v>
      </c>
      <c r="C22" s="32">
        <v>1.0</v>
      </c>
      <c r="D22" s="32" t="s">
        <v>104</v>
      </c>
      <c r="E22" s="32">
        <v>31.18</v>
      </c>
      <c r="F22" s="32">
        <f t="shared" si="1"/>
        <v>3.82</v>
      </c>
      <c r="G22" s="32" t="s">
        <v>103</v>
      </c>
      <c r="H22" s="7"/>
      <c r="I22" s="7"/>
      <c r="J22" s="7"/>
      <c r="K22" s="7"/>
      <c r="L22" s="7"/>
      <c r="M22" s="7"/>
      <c r="N22" s="7"/>
    </row>
    <row r="23">
      <c r="A23" s="31">
        <v>45981.0</v>
      </c>
      <c r="B23" s="32">
        <v>2.0</v>
      </c>
      <c r="C23" s="32">
        <v>2.0</v>
      </c>
      <c r="D23" s="32" t="s">
        <v>104</v>
      </c>
      <c r="E23" s="32">
        <v>31.15</v>
      </c>
      <c r="F23" s="32">
        <f t="shared" si="1"/>
        <v>0.25</v>
      </c>
      <c r="G23" s="33"/>
    </row>
    <row r="24">
      <c r="A24" s="31">
        <v>45981.0</v>
      </c>
      <c r="B24" s="32">
        <v>2.0</v>
      </c>
      <c r="C24" s="32">
        <v>3.0</v>
      </c>
      <c r="D24" s="32" t="s">
        <v>104</v>
      </c>
      <c r="E24" s="32">
        <v>26.69</v>
      </c>
      <c r="F24" s="32">
        <f t="shared" si="1"/>
        <v>0.68</v>
      </c>
      <c r="G24" s="33"/>
    </row>
    <row r="25">
      <c r="A25" s="31">
        <v>45981.0</v>
      </c>
      <c r="B25" s="32">
        <v>2.0</v>
      </c>
      <c r="C25" s="32">
        <v>4.0</v>
      </c>
      <c r="D25" s="32" t="s">
        <v>104</v>
      </c>
      <c r="E25" s="32">
        <v>30.11</v>
      </c>
      <c r="F25" s="32">
        <f t="shared" si="1"/>
        <v>0.66</v>
      </c>
      <c r="G25" s="33"/>
    </row>
    <row r="26">
      <c r="A26" s="34">
        <v>45982.0</v>
      </c>
      <c r="B26" s="35">
        <v>1.0</v>
      </c>
      <c r="C26" s="35">
        <v>1.0</v>
      </c>
      <c r="D26" s="35" t="s">
        <v>102</v>
      </c>
      <c r="E26" s="35">
        <v>33.97</v>
      </c>
      <c r="F26" s="35">
        <f t="shared" si="1"/>
        <v>0.54</v>
      </c>
      <c r="G26" s="35" t="s">
        <v>103</v>
      </c>
    </row>
    <row r="27">
      <c r="A27" s="34">
        <v>45982.0</v>
      </c>
      <c r="B27" s="35">
        <v>1.0</v>
      </c>
      <c r="C27" s="35">
        <v>2.0</v>
      </c>
      <c r="D27" s="35" t="s">
        <v>102</v>
      </c>
      <c r="E27" s="35">
        <v>30.98</v>
      </c>
      <c r="F27" s="35">
        <f t="shared" si="1"/>
        <v>-0.23</v>
      </c>
      <c r="G27" s="35"/>
    </row>
    <row r="28">
      <c r="A28" s="34">
        <v>45982.0</v>
      </c>
      <c r="B28" s="35">
        <v>1.0</v>
      </c>
      <c r="C28" s="35">
        <v>3.0</v>
      </c>
      <c r="D28" s="35" t="s">
        <v>102</v>
      </c>
      <c r="E28" s="35">
        <v>32.52</v>
      </c>
      <c r="F28" s="35">
        <f t="shared" si="1"/>
        <v>1.53</v>
      </c>
      <c r="G28" s="35"/>
    </row>
    <row r="29">
      <c r="A29" s="34">
        <v>45982.0</v>
      </c>
      <c r="B29" s="35">
        <v>1.0</v>
      </c>
      <c r="C29" s="35">
        <v>4.0</v>
      </c>
      <c r="D29" s="35" t="s">
        <v>102</v>
      </c>
      <c r="E29" s="35">
        <v>30.86</v>
      </c>
      <c r="F29" s="35">
        <f t="shared" si="1"/>
        <v>-0.09</v>
      </c>
      <c r="G29" s="35"/>
    </row>
    <row r="30">
      <c r="A30" s="34">
        <v>45982.0</v>
      </c>
      <c r="B30" s="35">
        <v>2.0</v>
      </c>
      <c r="C30" s="35">
        <v>1.0</v>
      </c>
      <c r="D30" s="35" t="s">
        <v>104</v>
      </c>
      <c r="E30" s="35">
        <v>29.29</v>
      </c>
      <c r="F30" s="35">
        <f t="shared" si="1"/>
        <v>-1.89</v>
      </c>
      <c r="G30" s="35" t="s">
        <v>103</v>
      </c>
    </row>
    <row r="31">
      <c r="A31" s="34">
        <v>45982.0</v>
      </c>
      <c r="B31" s="35">
        <v>2.0</v>
      </c>
      <c r="C31" s="35">
        <v>2.0</v>
      </c>
      <c r="D31" s="35" t="s">
        <v>104</v>
      </c>
      <c r="E31" s="35">
        <v>32.09</v>
      </c>
      <c r="F31" s="35">
        <f t="shared" si="1"/>
        <v>0.94</v>
      </c>
      <c r="G31" s="35"/>
    </row>
    <row r="32">
      <c r="A32" s="34">
        <v>45982.0</v>
      </c>
      <c r="B32" s="35">
        <v>2.0</v>
      </c>
      <c r="C32" s="35">
        <v>3.0</v>
      </c>
      <c r="D32" s="35" t="s">
        <v>104</v>
      </c>
      <c r="E32" s="35">
        <v>26.62</v>
      </c>
      <c r="F32" s="35">
        <f t="shared" si="1"/>
        <v>-0.07</v>
      </c>
      <c r="G32" s="35"/>
    </row>
    <row r="33">
      <c r="A33" s="34">
        <v>45982.0</v>
      </c>
      <c r="B33" s="35">
        <v>2.0</v>
      </c>
      <c r="C33" s="35">
        <v>4.0</v>
      </c>
      <c r="D33" s="35" t="s">
        <v>104</v>
      </c>
      <c r="E33" s="35">
        <v>30.62</v>
      </c>
      <c r="F33" s="35">
        <f t="shared" si="1"/>
        <v>0.51</v>
      </c>
      <c r="G33" s="35"/>
    </row>
    <row r="34">
      <c r="A34" s="31">
        <v>45983.0</v>
      </c>
      <c r="B34" s="32">
        <v>1.0</v>
      </c>
      <c r="C34" s="32">
        <v>1.0</v>
      </c>
      <c r="D34" s="32" t="s">
        <v>102</v>
      </c>
      <c r="E34" s="32">
        <v>33.62</v>
      </c>
      <c r="F34" s="32">
        <f t="shared" si="1"/>
        <v>-0.35</v>
      </c>
      <c r="G34" s="32" t="s">
        <v>103</v>
      </c>
    </row>
    <row r="35">
      <c r="A35" s="31">
        <v>45983.0</v>
      </c>
      <c r="B35" s="32">
        <v>1.0</v>
      </c>
      <c r="C35" s="32">
        <v>2.0</v>
      </c>
      <c r="D35" s="32" t="s">
        <v>102</v>
      </c>
      <c r="E35" s="32">
        <v>31.9</v>
      </c>
      <c r="F35" s="32">
        <f t="shared" si="1"/>
        <v>0.92</v>
      </c>
      <c r="G35" s="33"/>
    </row>
    <row r="36">
      <c r="A36" s="31">
        <v>45983.0</v>
      </c>
      <c r="B36" s="32">
        <v>1.0</v>
      </c>
      <c r="C36" s="32">
        <v>3.0</v>
      </c>
      <c r="D36" s="32" t="s">
        <v>102</v>
      </c>
      <c r="E36" s="32">
        <v>32.39</v>
      </c>
      <c r="F36" s="32">
        <f t="shared" si="1"/>
        <v>-0.13</v>
      </c>
      <c r="G36" s="33"/>
    </row>
    <row r="37">
      <c r="A37" s="31">
        <v>45983.0</v>
      </c>
      <c r="B37" s="32">
        <v>1.0</v>
      </c>
      <c r="C37" s="32">
        <v>4.0</v>
      </c>
      <c r="D37" s="32" t="s">
        <v>102</v>
      </c>
      <c r="E37" s="32">
        <v>31.33</v>
      </c>
      <c r="F37" s="32">
        <f t="shared" si="1"/>
        <v>0.47</v>
      </c>
      <c r="G37" s="33"/>
    </row>
    <row r="38">
      <c r="A38" s="31">
        <v>45983.0</v>
      </c>
      <c r="B38" s="32">
        <v>2.0</v>
      </c>
      <c r="C38" s="32">
        <v>1.0</v>
      </c>
      <c r="D38" s="32" t="s">
        <v>104</v>
      </c>
      <c r="E38" s="32">
        <v>28.87</v>
      </c>
      <c r="F38" s="32">
        <f t="shared" si="1"/>
        <v>-0.42</v>
      </c>
      <c r="G38" s="32" t="s">
        <v>103</v>
      </c>
    </row>
    <row r="39">
      <c r="A39" s="31">
        <v>45983.0</v>
      </c>
      <c r="B39" s="32">
        <v>2.0</v>
      </c>
      <c r="C39" s="32">
        <v>2.0</v>
      </c>
      <c r="D39" s="32" t="s">
        <v>104</v>
      </c>
      <c r="E39" s="32">
        <v>33.02</v>
      </c>
      <c r="F39" s="32">
        <f t="shared" si="1"/>
        <v>0.93</v>
      </c>
      <c r="G39" s="33"/>
    </row>
    <row r="40">
      <c r="A40" s="31">
        <v>45983.0</v>
      </c>
      <c r="B40" s="32">
        <v>2.0</v>
      </c>
      <c r="C40" s="32">
        <v>3.0</v>
      </c>
      <c r="D40" s="32" t="s">
        <v>104</v>
      </c>
      <c r="E40" s="32">
        <v>27.49</v>
      </c>
      <c r="F40" s="32">
        <f t="shared" si="1"/>
        <v>0.87</v>
      </c>
      <c r="G40" s="33"/>
    </row>
    <row r="41">
      <c r="A41" s="31">
        <v>45983.0</v>
      </c>
      <c r="B41" s="32">
        <v>2.0</v>
      </c>
      <c r="C41" s="32">
        <v>4.0</v>
      </c>
      <c r="D41" s="32" t="s">
        <v>104</v>
      </c>
      <c r="E41" s="32">
        <v>31.37</v>
      </c>
      <c r="F41" s="32">
        <f t="shared" si="1"/>
        <v>0.75</v>
      </c>
      <c r="G41" s="33"/>
    </row>
    <row r="42">
      <c r="A42" s="34">
        <v>45984.0</v>
      </c>
      <c r="B42" s="35">
        <v>1.0</v>
      </c>
      <c r="C42" s="35">
        <v>1.0</v>
      </c>
      <c r="D42" s="35" t="s">
        <v>102</v>
      </c>
      <c r="E42" s="35">
        <v>35.31</v>
      </c>
      <c r="F42" s="35">
        <f t="shared" si="1"/>
        <v>1.69</v>
      </c>
      <c r="G42" s="35" t="s">
        <v>103</v>
      </c>
    </row>
    <row r="43">
      <c r="A43" s="34">
        <v>45984.0</v>
      </c>
      <c r="B43" s="35">
        <v>1.0</v>
      </c>
      <c r="C43" s="35">
        <v>2.0</v>
      </c>
      <c r="D43" s="35" t="s">
        <v>102</v>
      </c>
      <c r="E43" s="35">
        <v>32.01</v>
      </c>
      <c r="F43" s="35">
        <f t="shared" si="1"/>
        <v>0.11</v>
      </c>
      <c r="G43" s="35"/>
    </row>
    <row r="44">
      <c r="A44" s="34">
        <v>45984.0</v>
      </c>
      <c r="B44" s="35">
        <v>1.0</v>
      </c>
      <c r="C44" s="35">
        <v>3.0</v>
      </c>
      <c r="D44" s="35" t="s">
        <v>102</v>
      </c>
      <c r="E44" s="35">
        <v>34.23</v>
      </c>
      <c r="F44" s="35">
        <f t="shared" si="1"/>
        <v>1.84</v>
      </c>
      <c r="G44" s="35"/>
    </row>
    <row r="45">
      <c r="A45" s="34">
        <v>45984.0</v>
      </c>
      <c r="B45" s="35">
        <v>1.0</v>
      </c>
      <c r="C45" s="35">
        <v>4.0</v>
      </c>
      <c r="D45" s="35" t="s">
        <v>102</v>
      </c>
      <c r="E45" s="35">
        <v>31.02</v>
      </c>
      <c r="F45" s="35">
        <f t="shared" si="1"/>
        <v>-0.31</v>
      </c>
      <c r="G45" s="35"/>
    </row>
    <row r="46">
      <c r="A46" s="34">
        <v>45984.0</v>
      </c>
      <c r="B46" s="35">
        <v>2.0</v>
      </c>
      <c r="C46" s="35">
        <v>1.0</v>
      </c>
      <c r="D46" s="35" t="s">
        <v>104</v>
      </c>
      <c r="E46" s="35">
        <v>29.1</v>
      </c>
      <c r="F46" s="35">
        <f t="shared" si="1"/>
        <v>0.23</v>
      </c>
      <c r="G46" s="35" t="s">
        <v>103</v>
      </c>
    </row>
    <row r="47">
      <c r="A47" s="34">
        <v>45984.0</v>
      </c>
      <c r="B47" s="35">
        <v>2.0</v>
      </c>
      <c r="C47" s="35">
        <v>2.0</v>
      </c>
      <c r="D47" s="35" t="s">
        <v>104</v>
      </c>
      <c r="E47" s="35">
        <v>33.78</v>
      </c>
      <c r="F47" s="35">
        <f t="shared" si="1"/>
        <v>0.76</v>
      </c>
      <c r="G47" s="35"/>
    </row>
    <row r="48">
      <c r="A48" s="34">
        <v>45984.0</v>
      </c>
      <c r="B48" s="35">
        <v>2.0</v>
      </c>
      <c r="C48" s="35">
        <v>3.0</v>
      </c>
      <c r="D48" s="35" t="s">
        <v>104</v>
      </c>
      <c r="E48" s="35">
        <v>27.8</v>
      </c>
      <c r="F48" s="35">
        <f t="shared" si="1"/>
        <v>0.31</v>
      </c>
      <c r="G48" s="35"/>
    </row>
    <row r="49">
      <c r="A49" s="34">
        <v>45984.0</v>
      </c>
      <c r="B49" s="35">
        <v>2.0</v>
      </c>
      <c r="C49" s="35">
        <v>4.0</v>
      </c>
      <c r="D49" s="35" t="s">
        <v>104</v>
      </c>
      <c r="E49" s="35">
        <v>32.4</v>
      </c>
      <c r="F49" s="35">
        <f t="shared" si="1"/>
        <v>1.03</v>
      </c>
      <c r="G49" s="35"/>
    </row>
    <row r="50">
      <c r="A50" s="31">
        <v>45985.0</v>
      </c>
      <c r="B50" s="32">
        <v>1.0</v>
      </c>
      <c r="C50" s="32">
        <v>1.0</v>
      </c>
      <c r="D50" s="32" t="s">
        <v>102</v>
      </c>
      <c r="E50" s="33"/>
      <c r="F50" s="32"/>
      <c r="G50" s="32" t="s">
        <v>103</v>
      </c>
    </row>
    <row r="51">
      <c r="A51" s="31">
        <v>45985.0</v>
      </c>
      <c r="B51" s="32">
        <v>1.0</v>
      </c>
      <c r="C51" s="32">
        <v>2.0</v>
      </c>
      <c r="D51" s="32" t="s">
        <v>102</v>
      </c>
      <c r="E51" s="32"/>
      <c r="F51" s="32"/>
      <c r="G51" s="33"/>
    </row>
    <row r="52">
      <c r="A52" s="31">
        <v>45985.0</v>
      </c>
      <c r="B52" s="32">
        <v>1.0</v>
      </c>
      <c r="C52" s="32">
        <v>3.0</v>
      </c>
      <c r="D52" s="32" t="s">
        <v>102</v>
      </c>
      <c r="E52" s="32"/>
      <c r="F52" s="32"/>
      <c r="G52" s="33"/>
    </row>
    <row r="53">
      <c r="A53" s="31">
        <v>45985.0</v>
      </c>
      <c r="B53" s="32">
        <v>1.0</v>
      </c>
      <c r="C53" s="32">
        <v>4.0</v>
      </c>
      <c r="D53" s="32" t="s">
        <v>102</v>
      </c>
      <c r="E53" s="32"/>
      <c r="F53" s="32"/>
      <c r="G53" s="33"/>
    </row>
    <row r="54">
      <c r="A54" s="31">
        <v>45985.0</v>
      </c>
      <c r="B54" s="32">
        <v>2.0</v>
      </c>
      <c r="C54" s="32">
        <v>1.0</v>
      </c>
      <c r="D54" s="32" t="s">
        <v>104</v>
      </c>
      <c r="E54" s="32"/>
      <c r="F54" s="32"/>
      <c r="G54" s="32" t="s">
        <v>103</v>
      </c>
    </row>
    <row r="55">
      <c r="A55" s="31">
        <v>45985.0</v>
      </c>
      <c r="B55" s="32">
        <v>2.0</v>
      </c>
      <c r="C55" s="32">
        <v>2.0</v>
      </c>
      <c r="D55" s="32" t="s">
        <v>104</v>
      </c>
      <c r="E55" s="32"/>
      <c r="F55" s="32"/>
      <c r="G55" s="33"/>
    </row>
    <row r="56">
      <c r="A56" s="31">
        <v>45985.0</v>
      </c>
      <c r="B56" s="32">
        <v>2.0</v>
      </c>
      <c r="C56" s="32">
        <v>3.0</v>
      </c>
      <c r="D56" s="32" t="s">
        <v>104</v>
      </c>
      <c r="E56" s="32"/>
      <c r="F56" s="32"/>
      <c r="G56" s="33"/>
    </row>
    <row r="57">
      <c r="A57" s="31">
        <v>45985.0</v>
      </c>
      <c r="B57" s="32">
        <v>2.0</v>
      </c>
      <c r="C57" s="32">
        <v>4.0</v>
      </c>
      <c r="D57" s="32" t="s">
        <v>104</v>
      </c>
      <c r="E57" s="32"/>
      <c r="F57" s="32"/>
      <c r="G57" s="33"/>
    </row>
    <row r="58">
      <c r="A58" s="34">
        <v>45986.0</v>
      </c>
      <c r="B58" s="35">
        <v>1.0</v>
      </c>
      <c r="C58" s="35">
        <v>1.0</v>
      </c>
      <c r="D58" s="35" t="s">
        <v>102</v>
      </c>
      <c r="E58" s="35">
        <v>35.24</v>
      </c>
      <c r="F58" s="35">
        <f t="shared" ref="F58:F65" si="2">E58-E42</f>
        <v>-0.07</v>
      </c>
      <c r="G58" s="35" t="s">
        <v>64</v>
      </c>
      <c r="H58" s="7" t="s">
        <v>105</v>
      </c>
    </row>
    <row r="59">
      <c r="A59" s="34">
        <v>45986.0</v>
      </c>
      <c r="B59" s="35">
        <v>1.0</v>
      </c>
      <c r="C59" s="35">
        <v>2.0</v>
      </c>
      <c r="D59" s="35" t="s">
        <v>102</v>
      </c>
      <c r="E59" s="35">
        <v>31.58</v>
      </c>
      <c r="F59" s="35">
        <f t="shared" si="2"/>
        <v>-0.43</v>
      </c>
      <c r="G59" s="35"/>
    </row>
    <row r="60">
      <c r="A60" s="34">
        <v>45986.0</v>
      </c>
      <c r="B60" s="35">
        <v>1.0</v>
      </c>
      <c r="C60" s="35">
        <v>3.0</v>
      </c>
      <c r="D60" s="35" t="s">
        <v>102</v>
      </c>
      <c r="E60" s="35">
        <v>34.11</v>
      </c>
      <c r="F60" s="35">
        <f t="shared" si="2"/>
        <v>-0.12</v>
      </c>
      <c r="G60" s="35"/>
    </row>
    <row r="61">
      <c r="A61" s="34">
        <v>45986.0</v>
      </c>
      <c r="B61" s="35">
        <v>1.0</v>
      </c>
      <c r="C61" s="35">
        <v>4.0</v>
      </c>
      <c r="D61" s="35" t="s">
        <v>102</v>
      </c>
      <c r="E61" s="35">
        <v>31.39</v>
      </c>
      <c r="F61" s="35">
        <f t="shared" si="2"/>
        <v>0.37</v>
      </c>
      <c r="G61" s="35"/>
    </row>
    <row r="62">
      <c r="A62" s="34">
        <v>45986.0</v>
      </c>
      <c r="B62" s="35">
        <v>2.0</v>
      </c>
      <c r="C62" s="35">
        <v>1.0</v>
      </c>
      <c r="D62" s="35" t="s">
        <v>104</v>
      </c>
      <c r="E62" s="35">
        <v>29.56</v>
      </c>
      <c r="F62" s="35">
        <f t="shared" si="2"/>
        <v>0.46</v>
      </c>
      <c r="G62" s="35" t="s">
        <v>106</v>
      </c>
    </row>
    <row r="63">
      <c r="A63" s="34">
        <v>45986.0</v>
      </c>
      <c r="B63" s="35">
        <v>2.0</v>
      </c>
      <c r="C63" s="35">
        <v>2.0</v>
      </c>
      <c r="D63" s="35" t="s">
        <v>104</v>
      </c>
      <c r="E63" s="35">
        <v>33.3</v>
      </c>
      <c r="F63" s="35">
        <f t="shared" si="2"/>
        <v>-0.48</v>
      </c>
      <c r="G63" s="35"/>
    </row>
    <row r="64">
      <c r="A64" s="34">
        <v>45986.0</v>
      </c>
      <c r="B64" s="35">
        <v>2.0</v>
      </c>
      <c r="C64" s="35">
        <v>3.0</v>
      </c>
      <c r="D64" s="35" t="s">
        <v>104</v>
      </c>
      <c r="E64" s="35">
        <v>27.34</v>
      </c>
      <c r="F64" s="35">
        <f t="shared" si="2"/>
        <v>-0.46</v>
      </c>
      <c r="G64" s="35"/>
    </row>
    <row r="65">
      <c r="A65" s="34">
        <v>45986.0</v>
      </c>
      <c r="B65" s="35">
        <v>2.0</v>
      </c>
      <c r="C65" s="35">
        <v>4.0</v>
      </c>
      <c r="D65" s="35" t="s">
        <v>104</v>
      </c>
      <c r="E65" s="35">
        <v>33.33</v>
      </c>
      <c r="F65" s="35">
        <f t="shared" si="2"/>
        <v>0.93</v>
      </c>
      <c r="G65" s="35"/>
    </row>
    <row r="66">
      <c r="A66" s="31">
        <f t="shared" ref="A66:A129" si="3">A58+1</f>
        <v>45987</v>
      </c>
      <c r="B66" s="32">
        <v>1.0</v>
      </c>
      <c r="C66" s="32">
        <v>1.0</v>
      </c>
      <c r="D66" s="32" t="s">
        <v>102</v>
      </c>
      <c r="E66" s="33"/>
      <c r="F66" s="32"/>
      <c r="G66" s="32" t="s">
        <v>64</v>
      </c>
    </row>
    <row r="67">
      <c r="A67" s="31">
        <f t="shared" si="3"/>
        <v>45987</v>
      </c>
      <c r="B67" s="32">
        <v>1.0</v>
      </c>
      <c r="C67" s="32">
        <v>2.0</v>
      </c>
      <c r="D67" s="32" t="s">
        <v>102</v>
      </c>
      <c r="E67" s="32"/>
      <c r="F67" s="32"/>
      <c r="G67" s="33"/>
    </row>
    <row r="68">
      <c r="A68" s="31">
        <f t="shared" si="3"/>
        <v>45987</v>
      </c>
      <c r="B68" s="32">
        <v>1.0</v>
      </c>
      <c r="C68" s="32">
        <v>3.0</v>
      </c>
      <c r="D68" s="32" t="s">
        <v>102</v>
      </c>
      <c r="E68" s="32"/>
      <c r="F68" s="32"/>
      <c r="G68" s="33"/>
    </row>
    <row r="69">
      <c r="A69" s="31">
        <f t="shared" si="3"/>
        <v>45987</v>
      </c>
      <c r="B69" s="32">
        <v>1.0</v>
      </c>
      <c r="C69" s="32">
        <v>4.0</v>
      </c>
      <c r="D69" s="32" t="s">
        <v>102</v>
      </c>
      <c r="E69" s="32"/>
      <c r="F69" s="32"/>
      <c r="G69" s="33"/>
    </row>
    <row r="70">
      <c r="A70" s="31">
        <f t="shared" si="3"/>
        <v>45987</v>
      </c>
      <c r="B70" s="32">
        <v>2.0</v>
      </c>
      <c r="C70" s="32">
        <v>1.0</v>
      </c>
      <c r="D70" s="32" t="s">
        <v>104</v>
      </c>
      <c r="E70" s="32"/>
      <c r="F70" s="32"/>
      <c r="G70" s="32" t="s">
        <v>106</v>
      </c>
    </row>
    <row r="71">
      <c r="A71" s="31">
        <f t="shared" si="3"/>
        <v>45987</v>
      </c>
      <c r="B71" s="32">
        <v>2.0</v>
      </c>
      <c r="C71" s="32">
        <v>2.0</v>
      </c>
      <c r="D71" s="32" t="s">
        <v>104</v>
      </c>
      <c r="E71" s="32"/>
      <c r="F71" s="32"/>
      <c r="G71" s="33"/>
    </row>
    <row r="72">
      <c r="A72" s="31">
        <f t="shared" si="3"/>
        <v>45987</v>
      </c>
      <c r="B72" s="32">
        <v>2.0</v>
      </c>
      <c r="C72" s="32">
        <v>3.0</v>
      </c>
      <c r="D72" s="32" t="s">
        <v>104</v>
      </c>
      <c r="E72" s="32"/>
      <c r="F72" s="32"/>
      <c r="G72" s="33"/>
    </row>
    <row r="73">
      <c r="A73" s="31">
        <f t="shared" si="3"/>
        <v>45987</v>
      </c>
      <c r="B73" s="32">
        <v>2.0</v>
      </c>
      <c r="C73" s="32">
        <v>4.0</v>
      </c>
      <c r="D73" s="32" t="s">
        <v>104</v>
      </c>
      <c r="E73" s="32"/>
      <c r="F73" s="32"/>
      <c r="G73" s="33"/>
    </row>
    <row r="74">
      <c r="A74" s="34">
        <f t="shared" si="3"/>
        <v>45988</v>
      </c>
      <c r="B74" s="35">
        <v>1.0</v>
      </c>
      <c r="C74" s="35">
        <v>1.0</v>
      </c>
      <c r="D74" s="35" t="s">
        <v>102</v>
      </c>
      <c r="E74" s="36">
        <v>33.66</v>
      </c>
      <c r="F74" s="35">
        <f t="shared" ref="F74:F81" si="4">E74-E58</f>
        <v>-1.58</v>
      </c>
      <c r="G74" s="35" t="s">
        <v>64</v>
      </c>
    </row>
    <row r="75">
      <c r="A75" s="34">
        <f t="shared" si="3"/>
        <v>45988</v>
      </c>
      <c r="B75" s="35">
        <v>1.0</v>
      </c>
      <c r="C75" s="35">
        <v>2.0</v>
      </c>
      <c r="D75" s="35" t="s">
        <v>102</v>
      </c>
      <c r="E75" s="35">
        <v>30.11</v>
      </c>
      <c r="F75" s="35">
        <f t="shared" si="4"/>
        <v>-1.47</v>
      </c>
      <c r="G75" s="35"/>
    </row>
    <row r="76">
      <c r="A76" s="34">
        <f t="shared" si="3"/>
        <v>45988</v>
      </c>
      <c r="B76" s="35">
        <v>1.0</v>
      </c>
      <c r="C76" s="35">
        <v>3.0</v>
      </c>
      <c r="D76" s="35" t="s">
        <v>102</v>
      </c>
      <c r="E76" s="35">
        <v>32.19</v>
      </c>
      <c r="F76" s="35">
        <f t="shared" si="4"/>
        <v>-1.92</v>
      </c>
      <c r="G76" s="35"/>
    </row>
    <row r="77">
      <c r="A77" s="34">
        <f t="shared" si="3"/>
        <v>45988</v>
      </c>
      <c r="B77" s="35">
        <v>1.0</v>
      </c>
      <c r="C77" s="35">
        <v>4.0</v>
      </c>
      <c r="D77" s="35" t="s">
        <v>102</v>
      </c>
      <c r="E77" s="35">
        <v>30.03</v>
      </c>
      <c r="F77" s="35">
        <f t="shared" si="4"/>
        <v>-1.36</v>
      </c>
      <c r="G77" s="35"/>
    </row>
    <row r="78">
      <c r="A78" s="34">
        <f t="shared" si="3"/>
        <v>45988</v>
      </c>
      <c r="B78" s="35">
        <v>2.0</v>
      </c>
      <c r="C78" s="35">
        <v>1.0</v>
      </c>
      <c r="D78" s="35" t="s">
        <v>104</v>
      </c>
      <c r="E78" s="35">
        <v>28.8</v>
      </c>
      <c r="F78" s="35">
        <f t="shared" si="4"/>
        <v>-0.76</v>
      </c>
      <c r="G78" s="35" t="s">
        <v>106</v>
      </c>
    </row>
    <row r="79">
      <c r="A79" s="34">
        <f t="shared" si="3"/>
        <v>45988</v>
      </c>
      <c r="B79" s="35">
        <v>2.0</v>
      </c>
      <c r="C79" s="35">
        <v>2.0</v>
      </c>
      <c r="D79" s="35" t="s">
        <v>104</v>
      </c>
      <c r="E79" s="35">
        <v>32.76</v>
      </c>
      <c r="F79" s="35">
        <f t="shared" si="4"/>
        <v>-0.54</v>
      </c>
      <c r="G79" s="35"/>
    </row>
    <row r="80">
      <c r="A80" s="34">
        <f t="shared" si="3"/>
        <v>45988</v>
      </c>
      <c r="B80" s="35">
        <v>2.0</v>
      </c>
      <c r="C80" s="35">
        <v>3.0</v>
      </c>
      <c r="D80" s="35" t="s">
        <v>104</v>
      </c>
      <c r="E80" s="35">
        <v>26.01</v>
      </c>
      <c r="F80" s="35">
        <f t="shared" si="4"/>
        <v>-1.33</v>
      </c>
      <c r="G80" s="35"/>
    </row>
    <row r="81">
      <c r="A81" s="34">
        <f t="shared" si="3"/>
        <v>45988</v>
      </c>
      <c r="B81" s="35">
        <v>2.0</v>
      </c>
      <c r="C81" s="35">
        <v>4.0</v>
      </c>
      <c r="D81" s="35" t="s">
        <v>104</v>
      </c>
      <c r="E81" s="35">
        <v>32.97</v>
      </c>
      <c r="F81" s="35">
        <f t="shared" si="4"/>
        <v>-0.36</v>
      </c>
      <c r="G81" s="35"/>
    </row>
    <row r="82">
      <c r="A82" s="31">
        <f t="shared" si="3"/>
        <v>45989</v>
      </c>
      <c r="B82" s="32">
        <v>1.0</v>
      </c>
      <c r="C82" s="32">
        <v>1.0</v>
      </c>
      <c r="D82" s="32" t="s">
        <v>102</v>
      </c>
      <c r="E82" s="33"/>
      <c r="F82" s="32"/>
      <c r="G82" s="32" t="s">
        <v>64</v>
      </c>
    </row>
    <row r="83">
      <c r="A83" s="31">
        <f t="shared" si="3"/>
        <v>45989</v>
      </c>
      <c r="B83" s="32">
        <v>1.0</v>
      </c>
      <c r="C83" s="32">
        <v>2.0</v>
      </c>
      <c r="D83" s="32" t="s">
        <v>102</v>
      </c>
      <c r="E83" s="32"/>
      <c r="F83" s="32"/>
      <c r="G83" s="33"/>
    </row>
    <row r="84">
      <c r="A84" s="31">
        <f t="shared" si="3"/>
        <v>45989</v>
      </c>
      <c r="B84" s="32">
        <v>1.0</v>
      </c>
      <c r="C84" s="32">
        <v>3.0</v>
      </c>
      <c r="D84" s="32" t="s">
        <v>102</v>
      </c>
      <c r="E84" s="32"/>
      <c r="F84" s="32"/>
      <c r="G84" s="33"/>
    </row>
    <row r="85">
      <c r="A85" s="31">
        <f t="shared" si="3"/>
        <v>45989</v>
      </c>
      <c r="B85" s="32">
        <v>1.0</v>
      </c>
      <c r="C85" s="32">
        <v>4.0</v>
      </c>
      <c r="D85" s="32" t="s">
        <v>102</v>
      </c>
      <c r="E85" s="32"/>
      <c r="F85" s="32"/>
      <c r="G85" s="33"/>
    </row>
    <row r="86">
      <c r="A86" s="31">
        <f t="shared" si="3"/>
        <v>45989</v>
      </c>
      <c r="B86" s="32">
        <v>2.0</v>
      </c>
      <c r="C86" s="32">
        <v>1.0</v>
      </c>
      <c r="D86" s="32" t="s">
        <v>104</v>
      </c>
      <c r="E86" s="32"/>
      <c r="F86" s="32"/>
      <c r="G86" s="32" t="s">
        <v>106</v>
      </c>
    </row>
    <row r="87">
      <c r="A87" s="31">
        <f t="shared" si="3"/>
        <v>45989</v>
      </c>
      <c r="B87" s="32">
        <v>2.0</v>
      </c>
      <c r="C87" s="32">
        <v>2.0</v>
      </c>
      <c r="D87" s="32" t="s">
        <v>104</v>
      </c>
      <c r="E87" s="32"/>
      <c r="F87" s="32"/>
      <c r="G87" s="33"/>
    </row>
    <row r="88">
      <c r="A88" s="31">
        <f t="shared" si="3"/>
        <v>45989</v>
      </c>
      <c r="B88" s="32">
        <v>2.0</v>
      </c>
      <c r="C88" s="32">
        <v>3.0</v>
      </c>
      <c r="D88" s="32" t="s">
        <v>104</v>
      </c>
      <c r="E88" s="32"/>
      <c r="F88" s="32"/>
      <c r="G88" s="33"/>
    </row>
    <row r="89">
      <c r="A89" s="31">
        <f t="shared" si="3"/>
        <v>45989</v>
      </c>
      <c r="B89" s="32">
        <v>2.0</v>
      </c>
      <c r="C89" s="32">
        <v>4.0</v>
      </c>
      <c r="D89" s="32" t="s">
        <v>104</v>
      </c>
      <c r="E89" s="32"/>
      <c r="F89" s="32"/>
      <c r="G89" s="33"/>
    </row>
    <row r="90">
      <c r="A90" s="34">
        <f t="shared" si="3"/>
        <v>45990</v>
      </c>
      <c r="B90" s="35">
        <v>1.0</v>
      </c>
      <c r="C90" s="35">
        <v>1.0</v>
      </c>
      <c r="D90" s="35" t="s">
        <v>102</v>
      </c>
      <c r="E90" s="35">
        <v>33.02</v>
      </c>
      <c r="F90" s="35">
        <f t="shared" ref="F90:F97" si="5">E90-E74</f>
        <v>-0.64</v>
      </c>
      <c r="G90" s="35" t="s">
        <v>64</v>
      </c>
    </row>
    <row r="91">
      <c r="A91" s="34">
        <f t="shared" si="3"/>
        <v>45990</v>
      </c>
      <c r="B91" s="35">
        <v>1.0</v>
      </c>
      <c r="C91" s="35">
        <v>2.0</v>
      </c>
      <c r="D91" s="35" t="s">
        <v>102</v>
      </c>
      <c r="E91" s="35">
        <v>29.75</v>
      </c>
      <c r="F91" s="35">
        <f t="shared" si="5"/>
        <v>-0.36</v>
      </c>
      <c r="G91" s="35"/>
    </row>
    <row r="92">
      <c r="A92" s="34">
        <f t="shared" si="3"/>
        <v>45990</v>
      </c>
      <c r="B92" s="35">
        <v>1.0</v>
      </c>
      <c r="C92" s="35">
        <v>3.0</v>
      </c>
      <c r="D92" s="35" t="s">
        <v>102</v>
      </c>
      <c r="E92" s="35">
        <v>31.77</v>
      </c>
      <c r="F92" s="35">
        <f t="shared" si="5"/>
        <v>-0.42</v>
      </c>
      <c r="G92" s="35"/>
    </row>
    <row r="93">
      <c r="A93" s="34">
        <f t="shared" si="3"/>
        <v>45990</v>
      </c>
      <c r="B93" s="35">
        <v>1.0</v>
      </c>
      <c r="C93" s="35">
        <v>4.0</v>
      </c>
      <c r="D93" s="35" t="s">
        <v>102</v>
      </c>
      <c r="E93" s="35">
        <v>30.54</v>
      </c>
      <c r="F93" s="35">
        <f t="shared" si="5"/>
        <v>0.51</v>
      </c>
      <c r="G93" s="35"/>
    </row>
    <row r="94">
      <c r="A94" s="34">
        <f t="shared" si="3"/>
        <v>45990</v>
      </c>
      <c r="B94" s="35">
        <v>2.0</v>
      </c>
      <c r="C94" s="35">
        <v>1.0</v>
      </c>
      <c r="D94" s="35" t="s">
        <v>104</v>
      </c>
      <c r="E94" s="35">
        <v>27.81</v>
      </c>
      <c r="F94" s="35">
        <f t="shared" si="5"/>
        <v>-0.99</v>
      </c>
      <c r="G94" s="35" t="s">
        <v>106</v>
      </c>
    </row>
    <row r="95">
      <c r="A95" s="34">
        <f t="shared" si="3"/>
        <v>45990</v>
      </c>
      <c r="B95" s="35">
        <v>2.0</v>
      </c>
      <c r="C95" s="35">
        <v>2.0</v>
      </c>
      <c r="D95" s="35" t="s">
        <v>104</v>
      </c>
      <c r="E95" s="35">
        <v>31.45</v>
      </c>
      <c r="F95" s="35">
        <f t="shared" si="5"/>
        <v>-1.31</v>
      </c>
      <c r="G95" s="35"/>
    </row>
    <row r="96">
      <c r="A96" s="34">
        <f t="shared" si="3"/>
        <v>45990</v>
      </c>
      <c r="B96" s="35">
        <v>2.0</v>
      </c>
      <c r="C96" s="35">
        <v>3.0</v>
      </c>
      <c r="D96" s="35" t="s">
        <v>104</v>
      </c>
      <c r="E96" s="35">
        <v>25.12</v>
      </c>
      <c r="F96" s="35">
        <f t="shared" si="5"/>
        <v>-0.89</v>
      </c>
      <c r="G96" s="35"/>
    </row>
    <row r="97">
      <c r="A97" s="34">
        <f t="shared" si="3"/>
        <v>45990</v>
      </c>
      <c r="B97" s="35">
        <v>2.0</v>
      </c>
      <c r="C97" s="35">
        <v>4.0</v>
      </c>
      <c r="D97" s="35" t="s">
        <v>104</v>
      </c>
      <c r="E97" s="35">
        <v>32.12</v>
      </c>
      <c r="F97" s="35">
        <f t="shared" si="5"/>
        <v>-0.85</v>
      </c>
      <c r="G97" s="35"/>
    </row>
    <row r="98">
      <c r="A98" s="31">
        <f t="shared" si="3"/>
        <v>45991</v>
      </c>
      <c r="B98" s="32">
        <v>1.0</v>
      </c>
      <c r="C98" s="32">
        <v>1.0</v>
      </c>
      <c r="D98" s="32" t="s">
        <v>102</v>
      </c>
      <c r="E98" s="32"/>
      <c r="F98" s="32"/>
      <c r="G98" s="32" t="s">
        <v>64</v>
      </c>
    </row>
    <row r="99">
      <c r="A99" s="31">
        <f t="shared" si="3"/>
        <v>45991</v>
      </c>
      <c r="B99" s="32">
        <v>1.0</v>
      </c>
      <c r="C99" s="32">
        <v>2.0</v>
      </c>
      <c r="D99" s="32" t="s">
        <v>102</v>
      </c>
      <c r="E99" s="32"/>
      <c r="F99" s="32"/>
      <c r="G99" s="33"/>
    </row>
    <row r="100">
      <c r="A100" s="31">
        <f t="shared" si="3"/>
        <v>45991</v>
      </c>
      <c r="B100" s="32">
        <v>1.0</v>
      </c>
      <c r="C100" s="32">
        <v>3.0</v>
      </c>
      <c r="D100" s="32" t="s">
        <v>102</v>
      </c>
      <c r="E100" s="32"/>
      <c r="F100" s="32"/>
      <c r="G100" s="33"/>
    </row>
    <row r="101">
      <c r="A101" s="31">
        <f t="shared" si="3"/>
        <v>45991</v>
      </c>
      <c r="B101" s="32">
        <v>1.0</v>
      </c>
      <c r="C101" s="32">
        <v>4.0</v>
      </c>
      <c r="D101" s="32" t="s">
        <v>102</v>
      </c>
      <c r="E101" s="32"/>
      <c r="F101" s="32"/>
      <c r="G101" s="33"/>
    </row>
    <row r="102">
      <c r="A102" s="31">
        <f t="shared" si="3"/>
        <v>45991</v>
      </c>
      <c r="B102" s="32">
        <v>2.0</v>
      </c>
      <c r="C102" s="32">
        <v>1.0</v>
      </c>
      <c r="D102" s="32" t="s">
        <v>104</v>
      </c>
      <c r="E102" s="32"/>
      <c r="F102" s="32"/>
      <c r="G102" s="32" t="s">
        <v>106</v>
      </c>
    </row>
    <row r="103">
      <c r="A103" s="31">
        <f t="shared" si="3"/>
        <v>45991</v>
      </c>
      <c r="B103" s="32">
        <v>2.0</v>
      </c>
      <c r="C103" s="32">
        <v>2.0</v>
      </c>
      <c r="D103" s="32" t="s">
        <v>104</v>
      </c>
      <c r="E103" s="32"/>
      <c r="F103" s="32"/>
      <c r="G103" s="33"/>
    </row>
    <row r="104">
      <c r="A104" s="31">
        <f t="shared" si="3"/>
        <v>45991</v>
      </c>
      <c r="B104" s="32">
        <v>2.0</v>
      </c>
      <c r="C104" s="32">
        <v>3.0</v>
      </c>
      <c r="D104" s="32" t="s">
        <v>104</v>
      </c>
      <c r="E104" s="32"/>
      <c r="F104" s="32"/>
      <c r="G104" s="33"/>
    </row>
    <row r="105">
      <c r="A105" s="31">
        <f t="shared" si="3"/>
        <v>45991</v>
      </c>
      <c r="B105" s="32">
        <v>2.0</v>
      </c>
      <c r="C105" s="32">
        <v>4.0</v>
      </c>
      <c r="D105" s="32" t="s">
        <v>104</v>
      </c>
      <c r="E105" s="32"/>
      <c r="F105" s="32"/>
      <c r="G105" s="33"/>
    </row>
    <row r="106">
      <c r="A106" s="34">
        <f t="shared" si="3"/>
        <v>45992</v>
      </c>
      <c r="B106" s="35">
        <v>1.0</v>
      </c>
      <c r="C106" s="35">
        <v>1.0</v>
      </c>
      <c r="D106" s="35" t="s">
        <v>102</v>
      </c>
      <c r="E106" s="35">
        <v>33.21</v>
      </c>
      <c r="F106" s="35">
        <f t="shared" ref="F106:F113" si="6">E106-E90</f>
        <v>0.19</v>
      </c>
      <c r="G106" s="35" t="s">
        <v>64</v>
      </c>
    </row>
    <row r="107">
      <c r="A107" s="34">
        <f t="shared" si="3"/>
        <v>45992</v>
      </c>
      <c r="B107" s="35">
        <v>1.0</v>
      </c>
      <c r="C107" s="35">
        <v>2.0</v>
      </c>
      <c r="D107" s="35" t="s">
        <v>102</v>
      </c>
      <c r="E107" s="35">
        <v>29.76</v>
      </c>
      <c r="F107" s="35">
        <f t="shared" si="6"/>
        <v>0.01</v>
      </c>
      <c r="G107" s="35"/>
    </row>
    <row r="108">
      <c r="A108" s="34">
        <f t="shared" si="3"/>
        <v>45992</v>
      </c>
      <c r="B108" s="35">
        <v>1.0</v>
      </c>
      <c r="C108" s="35">
        <v>3.0</v>
      </c>
      <c r="D108" s="35" t="s">
        <v>102</v>
      </c>
      <c r="E108" s="35">
        <v>32.1</v>
      </c>
      <c r="F108" s="35">
        <f t="shared" si="6"/>
        <v>0.33</v>
      </c>
      <c r="G108" s="35"/>
    </row>
    <row r="109">
      <c r="A109" s="34">
        <f t="shared" si="3"/>
        <v>45992</v>
      </c>
      <c r="B109" s="35">
        <v>1.0</v>
      </c>
      <c r="C109" s="35">
        <v>4.0</v>
      </c>
      <c r="D109" s="35" t="s">
        <v>102</v>
      </c>
      <c r="E109" s="35">
        <v>30.72</v>
      </c>
      <c r="F109" s="35">
        <f t="shared" si="6"/>
        <v>0.18</v>
      </c>
      <c r="G109" s="35"/>
    </row>
    <row r="110">
      <c r="A110" s="34">
        <f t="shared" si="3"/>
        <v>45992</v>
      </c>
      <c r="B110" s="35">
        <v>2.0</v>
      </c>
      <c r="C110" s="35">
        <v>1.0</v>
      </c>
      <c r="D110" s="35" t="s">
        <v>104</v>
      </c>
      <c r="E110" s="35">
        <v>26.71</v>
      </c>
      <c r="F110" s="35">
        <f t="shared" si="6"/>
        <v>-1.1</v>
      </c>
      <c r="G110" s="35" t="s">
        <v>106</v>
      </c>
    </row>
    <row r="111">
      <c r="A111" s="34">
        <f t="shared" si="3"/>
        <v>45992</v>
      </c>
      <c r="B111" s="35">
        <v>2.0</v>
      </c>
      <c r="C111" s="35">
        <v>2.0</v>
      </c>
      <c r="D111" s="35" t="s">
        <v>104</v>
      </c>
      <c r="E111" s="35">
        <v>30.97</v>
      </c>
      <c r="F111" s="35">
        <f t="shared" si="6"/>
        <v>-0.48</v>
      </c>
      <c r="G111" s="35"/>
    </row>
    <row r="112">
      <c r="A112" s="34">
        <f t="shared" si="3"/>
        <v>45992</v>
      </c>
      <c r="B112" s="35">
        <v>2.0</v>
      </c>
      <c r="C112" s="35">
        <v>3.0</v>
      </c>
      <c r="D112" s="35" t="s">
        <v>104</v>
      </c>
      <c r="E112" s="35">
        <v>24.42</v>
      </c>
      <c r="F112" s="35">
        <f t="shared" si="6"/>
        <v>-0.7</v>
      </c>
      <c r="G112" s="35"/>
    </row>
    <row r="113">
      <c r="A113" s="34">
        <f t="shared" si="3"/>
        <v>45992</v>
      </c>
      <c r="B113" s="35">
        <v>2.0</v>
      </c>
      <c r="C113" s="35">
        <v>4.0</v>
      </c>
      <c r="D113" s="35" t="s">
        <v>104</v>
      </c>
      <c r="E113" s="35">
        <v>30.79</v>
      </c>
      <c r="F113" s="35">
        <f t="shared" si="6"/>
        <v>-1.33</v>
      </c>
      <c r="G113" s="35"/>
    </row>
    <row r="114">
      <c r="A114" s="31">
        <f t="shared" si="3"/>
        <v>45993</v>
      </c>
      <c r="B114" s="32">
        <v>1.0</v>
      </c>
      <c r="C114" s="32">
        <v>1.0</v>
      </c>
      <c r="D114" s="32" t="s">
        <v>102</v>
      </c>
      <c r="E114" s="33"/>
      <c r="F114" s="32"/>
      <c r="G114" s="32"/>
    </row>
    <row r="115">
      <c r="A115" s="31">
        <f t="shared" si="3"/>
        <v>45993</v>
      </c>
      <c r="B115" s="32">
        <v>1.0</v>
      </c>
      <c r="C115" s="32">
        <v>2.0</v>
      </c>
      <c r="D115" s="32" t="s">
        <v>102</v>
      </c>
      <c r="E115" s="32"/>
      <c r="F115" s="32"/>
      <c r="G115" s="33"/>
    </row>
    <row r="116">
      <c r="A116" s="31">
        <f t="shared" si="3"/>
        <v>45993</v>
      </c>
      <c r="B116" s="32">
        <v>1.0</v>
      </c>
      <c r="C116" s="32">
        <v>3.0</v>
      </c>
      <c r="D116" s="32" t="s">
        <v>102</v>
      </c>
      <c r="E116" s="32"/>
      <c r="F116" s="32"/>
      <c r="G116" s="33"/>
    </row>
    <row r="117">
      <c r="A117" s="31">
        <f t="shared" si="3"/>
        <v>45993</v>
      </c>
      <c r="B117" s="32">
        <v>1.0</v>
      </c>
      <c r="C117" s="32">
        <v>4.0</v>
      </c>
      <c r="D117" s="32" t="s">
        <v>102</v>
      </c>
      <c r="E117" s="32"/>
      <c r="F117" s="32"/>
      <c r="G117" s="33"/>
    </row>
    <row r="118">
      <c r="A118" s="31">
        <f t="shared" si="3"/>
        <v>45993</v>
      </c>
      <c r="B118" s="32">
        <v>2.0</v>
      </c>
      <c r="C118" s="32">
        <v>1.0</v>
      </c>
      <c r="D118" s="32" t="s">
        <v>104</v>
      </c>
      <c r="E118" s="32"/>
      <c r="F118" s="32"/>
      <c r="G118" s="32"/>
    </row>
    <row r="119">
      <c r="A119" s="31">
        <f t="shared" si="3"/>
        <v>45993</v>
      </c>
      <c r="B119" s="32">
        <v>2.0</v>
      </c>
      <c r="C119" s="32">
        <v>2.0</v>
      </c>
      <c r="D119" s="32" t="s">
        <v>104</v>
      </c>
      <c r="E119" s="32"/>
      <c r="F119" s="32"/>
      <c r="G119" s="33"/>
    </row>
    <row r="120">
      <c r="A120" s="31">
        <f t="shared" si="3"/>
        <v>45993</v>
      </c>
      <c r="B120" s="32">
        <v>2.0</v>
      </c>
      <c r="C120" s="32">
        <v>3.0</v>
      </c>
      <c r="D120" s="32" t="s">
        <v>104</v>
      </c>
      <c r="E120" s="32"/>
      <c r="F120" s="32"/>
      <c r="G120" s="33"/>
    </row>
    <row r="121">
      <c r="A121" s="31">
        <f t="shared" si="3"/>
        <v>45993</v>
      </c>
      <c r="B121" s="32">
        <v>2.0</v>
      </c>
      <c r="C121" s="32">
        <v>4.0</v>
      </c>
      <c r="D121" s="32" t="s">
        <v>104</v>
      </c>
      <c r="E121" s="32"/>
      <c r="F121" s="32"/>
      <c r="G121" s="33"/>
    </row>
    <row r="122">
      <c r="A122" s="34">
        <f t="shared" si="3"/>
        <v>45994</v>
      </c>
      <c r="B122" s="35">
        <v>1.0</v>
      </c>
      <c r="C122" s="35">
        <v>1.0</v>
      </c>
      <c r="D122" s="35" t="s">
        <v>102</v>
      </c>
      <c r="E122" s="35"/>
      <c r="F122" s="35"/>
      <c r="G122" s="35" t="s">
        <v>64</v>
      </c>
    </row>
    <row r="123">
      <c r="A123" s="34">
        <f t="shared" si="3"/>
        <v>45994</v>
      </c>
      <c r="B123" s="35">
        <v>1.0</v>
      </c>
      <c r="C123" s="35">
        <v>2.0</v>
      </c>
      <c r="D123" s="35" t="s">
        <v>102</v>
      </c>
      <c r="E123" s="35"/>
      <c r="F123" s="35"/>
      <c r="G123" s="35"/>
    </row>
    <row r="124">
      <c r="A124" s="34">
        <f t="shared" si="3"/>
        <v>45994</v>
      </c>
      <c r="B124" s="35">
        <v>1.0</v>
      </c>
      <c r="C124" s="35">
        <v>3.0</v>
      </c>
      <c r="D124" s="35" t="s">
        <v>102</v>
      </c>
      <c r="E124" s="35"/>
      <c r="F124" s="35"/>
      <c r="G124" s="35"/>
    </row>
    <row r="125">
      <c r="A125" s="34">
        <f t="shared" si="3"/>
        <v>45994</v>
      </c>
      <c r="B125" s="35">
        <v>1.0</v>
      </c>
      <c r="C125" s="35">
        <v>4.0</v>
      </c>
      <c r="D125" s="35" t="s">
        <v>102</v>
      </c>
      <c r="E125" s="35"/>
      <c r="F125" s="35"/>
      <c r="G125" s="35"/>
    </row>
    <row r="126">
      <c r="A126" s="34">
        <f t="shared" si="3"/>
        <v>45994</v>
      </c>
      <c r="B126" s="35">
        <v>2.0</v>
      </c>
      <c r="C126" s="35">
        <v>1.0</v>
      </c>
      <c r="D126" s="35" t="s">
        <v>104</v>
      </c>
      <c r="E126" s="35"/>
      <c r="F126" s="35"/>
      <c r="G126" s="35" t="s">
        <v>106</v>
      </c>
    </row>
    <row r="127">
      <c r="A127" s="34">
        <f t="shared" si="3"/>
        <v>45994</v>
      </c>
      <c r="B127" s="35">
        <v>2.0</v>
      </c>
      <c r="C127" s="35">
        <v>2.0</v>
      </c>
      <c r="D127" s="35" t="s">
        <v>104</v>
      </c>
      <c r="E127" s="35"/>
      <c r="F127" s="35"/>
      <c r="G127" s="35"/>
    </row>
    <row r="128">
      <c r="A128" s="34">
        <f t="shared" si="3"/>
        <v>45994</v>
      </c>
      <c r="B128" s="35">
        <v>2.0</v>
      </c>
      <c r="C128" s="35">
        <v>3.0</v>
      </c>
      <c r="D128" s="35" t="s">
        <v>104</v>
      </c>
      <c r="E128" s="35"/>
      <c r="F128" s="35"/>
      <c r="G128" s="35"/>
    </row>
    <row r="129">
      <c r="A129" s="34">
        <f t="shared" si="3"/>
        <v>45994</v>
      </c>
      <c r="B129" s="35">
        <v>2.0</v>
      </c>
      <c r="C129" s="35">
        <v>4.0</v>
      </c>
      <c r="D129" s="35" t="s">
        <v>104</v>
      </c>
      <c r="E129" s="35"/>
      <c r="F129" s="35"/>
      <c r="G129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107</v>
      </c>
      <c r="C1" s="30"/>
      <c r="D1" s="1"/>
      <c r="E1" s="1" t="s">
        <v>108</v>
      </c>
    </row>
    <row r="2">
      <c r="A2" s="7" t="s">
        <v>109</v>
      </c>
      <c r="B2" s="7" t="s">
        <v>110</v>
      </c>
      <c r="C2" s="7" t="s">
        <v>111</v>
      </c>
      <c r="D2" s="7" t="s">
        <v>112</v>
      </c>
      <c r="E2" s="7" t="s">
        <v>110</v>
      </c>
      <c r="F2" s="7" t="s">
        <v>111</v>
      </c>
      <c r="G2" s="7" t="s">
        <v>112</v>
      </c>
    </row>
    <row r="3">
      <c r="A3" s="37">
        <v>1.0</v>
      </c>
      <c r="B3" s="37">
        <v>3.0</v>
      </c>
      <c r="C3" s="37">
        <v>2.0</v>
      </c>
      <c r="D3" s="38">
        <f t="shared" ref="D3:D22" si="1">(B3-C3)/(B3+C3)</f>
        <v>0.2</v>
      </c>
      <c r="E3" s="7">
        <v>1.0</v>
      </c>
      <c r="F3" s="7">
        <v>3.0</v>
      </c>
      <c r="G3" s="38">
        <f t="shared" ref="G3:G22" si="2">(E3-F3)/(E3+F3)</f>
        <v>-0.5</v>
      </c>
    </row>
    <row r="4">
      <c r="A4" s="37">
        <v>2.0</v>
      </c>
      <c r="B4" s="37">
        <v>0.0</v>
      </c>
      <c r="C4" s="37">
        <v>5.0</v>
      </c>
      <c r="D4" s="38">
        <f t="shared" si="1"/>
        <v>-1</v>
      </c>
      <c r="E4" s="7">
        <v>2.0</v>
      </c>
      <c r="F4" s="7">
        <v>3.0</v>
      </c>
      <c r="G4" s="38">
        <f t="shared" si="2"/>
        <v>-0.2</v>
      </c>
    </row>
    <row r="5">
      <c r="A5" s="37">
        <v>3.0</v>
      </c>
      <c r="B5" s="37">
        <v>5.0</v>
      </c>
      <c r="C5" s="37">
        <v>7.0</v>
      </c>
      <c r="D5" s="38">
        <f t="shared" si="1"/>
        <v>-0.1666666667</v>
      </c>
      <c r="E5" s="7">
        <v>2.0</v>
      </c>
      <c r="F5" s="7">
        <v>6.0</v>
      </c>
      <c r="G5" s="38">
        <f t="shared" si="2"/>
        <v>-0.5</v>
      </c>
    </row>
    <row r="6">
      <c r="A6" s="37">
        <v>4.0</v>
      </c>
      <c r="B6" s="37">
        <v>4.0</v>
      </c>
      <c r="C6" s="37">
        <v>1.0</v>
      </c>
      <c r="D6" s="38">
        <f t="shared" si="1"/>
        <v>0.6</v>
      </c>
      <c r="E6" s="7">
        <v>0.0</v>
      </c>
      <c r="F6" s="7">
        <v>1.0</v>
      </c>
      <c r="G6" s="38">
        <f t="shared" si="2"/>
        <v>-1</v>
      </c>
    </row>
    <row r="7">
      <c r="A7" s="37">
        <v>5.0</v>
      </c>
      <c r="B7" s="37">
        <v>20.0</v>
      </c>
      <c r="C7" s="37">
        <v>0.0</v>
      </c>
      <c r="D7" s="38">
        <f t="shared" si="1"/>
        <v>1</v>
      </c>
      <c r="E7" s="7">
        <v>1.0</v>
      </c>
      <c r="F7" s="7">
        <v>4.0</v>
      </c>
      <c r="G7" s="38">
        <f t="shared" si="2"/>
        <v>-0.6</v>
      </c>
    </row>
    <row r="8">
      <c r="A8" s="37">
        <v>6.0</v>
      </c>
      <c r="B8" s="37">
        <v>19.0</v>
      </c>
      <c r="C8" s="37">
        <v>0.0</v>
      </c>
      <c r="D8" s="38">
        <f t="shared" si="1"/>
        <v>1</v>
      </c>
      <c r="E8" s="7">
        <v>2.0</v>
      </c>
      <c r="F8" s="7">
        <v>0.0</v>
      </c>
      <c r="G8" s="38">
        <f t="shared" si="2"/>
        <v>1</v>
      </c>
    </row>
    <row r="9">
      <c r="A9" s="37">
        <v>7.0</v>
      </c>
      <c r="B9" s="37">
        <v>7.0</v>
      </c>
      <c r="C9" s="37">
        <v>0.0</v>
      </c>
      <c r="D9" s="38">
        <f t="shared" si="1"/>
        <v>1</v>
      </c>
      <c r="E9" s="7">
        <v>4.0</v>
      </c>
      <c r="F9" s="7">
        <v>3.0</v>
      </c>
      <c r="G9" s="38">
        <f t="shared" si="2"/>
        <v>0.1428571429</v>
      </c>
    </row>
    <row r="10">
      <c r="A10" s="37">
        <v>8.0</v>
      </c>
      <c r="B10" s="37">
        <v>3.0</v>
      </c>
      <c r="C10" s="37">
        <v>0.0</v>
      </c>
      <c r="D10" s="38">
        <f t="shared" si="1"/>
        <v>1</v>
      </c>
      <c r="E10" s="7">
        <v>0.0</v>
      </c>
      <c r="F10" s="7">
        <v>1.0</v>
      </c>
      <c r="G10" s="38">
        <f t="shared" si="2"/>
        <v>-1</v>
      </c>
    </row>
    <row r="11">
      <c r="A11" s="37">
        <v>9.0</v>
      </c>
      <c r="B11" s="37">
        <v>5.0</v>
      </c>
      <c r="C11" s="37">
        <v>5.0</v>
      </c>
      <c r="D11" s="38">
        <f t="shared" si="1"/>
        <v>0</v>
      </c>
      <c r="E11" s="7">
        <v>3.0</v>
      </c>
      <c r="F11" s="7">
        <v>4.0</v>
      </c>
      <c r="G11" s="38">
        <f t="shared" si="2"/>
        <v>-0.1428571429</v>
      </c>
    </row>
    <row r="12">
      <c r="A12" s="37">
        <v>10.0</v>
      </c>
      <c r="B12" s="37">
        <v>15.0</v>
      </c>
      <c r="C12" s="37">
        <v>0.0</v>
      </c>
      <c r="D12" s="38">
        <f t="shared" si="1"/>
        <v>1</v>
      </c>
      <c r="E12" s="7">
        <v>4.0</v>
      </c>
      <c r="F12" s="7">
        <v>0.0</v>
      </c>
      <c r="G12" s="38">
        <f t="shared" si="2"/>
        <v>1</v>
      </c>
    </row>
    <row r="13">
      <c r="A13" s="37">
        <v>11.0</v>
      </c>
      <c r="B13" s="37">
        <v>13.0</v>
      </c>
      <c r="C13" s="37">
        <v>0.0</v>
      </c>
      <c r="D13" s="38">
        <f t="shared" si="1"/>
        <v>1</v>
      </c>
      <c r="E13" s="7">
        <v>1.0</v>
      </c>
      <c r="F13" s="7">
        <v>9.0</v>
      </c>
      <c r="G13" s="38">
        <f t="shared" si="2"/>
        <v>-0.8</v>
      </c>
    </row>
    <row r="14">
      <c r="A14" s="37">
        <v>12.0</v>
      </c>
      <c r="B14" s="37">
        <v>2.0</v>
      </c>
      <c r="C14" s="37">
        <v>3.0</v>
      </c>
      <c r="D14" s="38">
        <f t="shared" si="1"/>
        <v>-0.2</v>
      </c>
      <c r="E14" s="7">
        <v>4.0</v>
      </c>
      <c r="F14" s="7">
        <v>1.0</v>
      </c>
      <c r="G14" s="38">
        <f t="shared" si="2"/>
        <v>0.6</v>
      </c>
    </row>
    <row r="15">
      <c r="A15" s="37">
        <v>13.0</v>
      </c>
      <c r="B15" s="37">
        <v>9.0</v>
      </c>
      <c r="C15" s="37">
        <v>0.0</v>
      </c>
      <c r="D15" s="38">
        <f t="shared" si="1"/>
        <v>1</v>
      </c>
      <c r="E15" s="7">
        <v>5.0</v>
      </c>
      <c r="F15" s="7">
        <v>4.0</v>
      </c>
      <c r="G15" s="38">
        <f t="shared" si="2"/>
        <v>0.1111111111</v>
      </c>
    </row>
    <row r="16">
      <c r="A16" s="37">
        <v>14.0</v>
      </c>
      <c r="B16" s="37">
        <v>11.0</v>
      </c>
      <c r="C16" s="37">
        <v>0.0</v>
      </c>
      <c r="D16" s="38">
        <f t="shared" si="1"/>
        <v>1</v>
      </c>
      <c r="E16" s="7">
        <v>3.0</v>
      </c>
      <c r="F16" s="7">
        <v>4.0</v>
      </c>
      <c r="G16" s="38">
        <f t="shared" si="2"/>
        <v>-0.1428571429</v>
      </c>
    </row>
    <row r="17">
      <c r="A17" s="37">
        <v>15.0</v>
      </c>
      <c r="B17" s="37">
        <v>5.0</v>
      </c>
      <c r="C17" s="37">
        <v>0.0</v>
      </c>
      <c r="D17" s="38">
        <f t="shared" si="1"/>
        <v>1</v>
      </c>
      <c r="E17" s="7">
        <v>3.0</v>
      </c>
      <c r="F17" s="7">
        <v>3.0</v>
      </c>
      <c r="G17" s="38">
        <f t="shared" si="2"/>
        <v>0</v>
      </c>
    </row>
    <row r="18">
      <c r="A18" s="37">
        <v>16.0</v>
      </c>
      <c r="B18" s="37">
        <v>0.0</v>
      </c>
      <c r="C18" s="37">
        <v>2.0</v>
      </c>
      <c r="D18" s="38">
        <f t="shared" si="1"/>
        <v>-1</v>
      </c>
      <c r="E18" s="7">
        <v>3.0</v>
      </c>
      <c r="F18" s="7">
        <v>2.0</v>
      </c>
      <c r="G18" s="38">
        <f t="shared" si="2"/>
        <v>0.2</v>
      </c>
    </row>
    <row r="19">
      <c r="A19" s="37">
        <v>17.0</v>
      </c>
      <c r="B19" s="37">
        <v>10.0</v>
      </c>
      <c r="C19" s="37">
        <v>0.0</v>
      </c>
      <c r="D19" s="38">
        <f t="shared" si="1"/>
        <v>1</v>
      </c>
      <c r="E19" s="7">
        <v>7.0</v>
      </c>
      <c r="F19" s="7">
        <v>3.0</v>
      </c>
      <c r="G19" s="38">
        <f t="shared" si="2"/>
        <v>0.4</v>
      </c>
    </row>
    <row r="20">
      <c r="A20" s="37">
        <v>18.0</v>
      </c>
      <c r="B20" s="37">
        <v>13.0</v>
      </c>
      <c r="C20" s="37">
        <v>0.0</v>
      </c>
      <c r="D20" s="38">
        <f t="shared" si="1"/>
        <v>1</v>
      </c>
      <c r="E20" s="7">
        <v>0.0</v>
      </c>
      <c r="F20" s="7">
        <v>5.0</v>
      </c>
      <c r="G20" s="38">
        <f t="shared" si="2"/>
        <v>-1</v>
      </c>
    </row>
    <row r="21">
      <c r="A21" s="37">
        <v>19.0</v>
      </c>
      <c r="B21" s="37">
        <v>9.0</v>
      </c>
      <c r="C21" s="37">
        <v>3.0</v>
      </c>
      <c r="D21" s="38">
        <f t="shared" si="1"/>
        <v>0.5</v>
      </c>
      <c r="E21" s="7">
        <v>1.0</v>
      </c>
      <c r="F21" s="7">
        <v>1.0</v>
      </c>
      <c r="G21" s="38">
        <f t="shared" si="2"/>
        <v>0</v>
      </c>
    </row>
    <row r="22">
      <c r="A22" s="37">
        <v>20.0</v>
      </c>
      <c r="B22" s="37">
        <v>7.0</v>
      </c>
      <c r="C22" s="37">
        <v>0.0</v>
      </c>
      <c r="D22" s="38">
        <f t="shared" si="1"/>
        <v>1</v>
      </c>
      <c r="E22" s="7">
        <v>2.0</v>
      </c>
      <c r="F22" s="7">
        <v>6.0</v>
      </c>
      <c r="G22" s="38">
        <f t="shared" si="2"/>
        <v>-0.5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118</v>
      </c>
      <c r="H1" s="7" t="s">
        <v>119</v>
      </c>
      <c r="I1" s="7" t="s">
        <v>120</v>
      </c>
      <c r="J1" s="7" t="s">
        <v>121</v>
      </c>
      <c r="K1" s="7" t="s">
        <v>122</v>
      </c>
      <c r="L1" s="7" t="s">
        <v>123</v>
      </c>
      <c r="M1" s="7" t="s">
        <v>124</v>
      </c>
      <c r="N1" s="7" t="s">
        <v>125</v>
      </c>
      <c r="O1" s="7" t="s">
        <v>126</v>
      </c>
      <c r="P1" s="7" t="s">
        <v>127</v>
      </c>
      <c r="Q1" s="7" t="s">
        <v>128</v>
      </c>
      <c r="R1" s="7" t="s">
        <v>129</v>
      </c>
      <c r="S1" s="7" t="s">
        <v>130</v>
      </c>
      <c r="T1" s="7" t="s">
        <v>131</v>
      </c>
      <c r="U1" s="7" t="s">
        <v>132</v>
      </c>
      <c r="V1" s="7" t="s">
        <v>133</v>
      </c>
      <c r="W1" s="7" t="s">
        <v>134</v>
      </c>
      <c r="X1" s="7" t="s">
        <v>135</v>
      </c>
      <c r="Y1" s="7" t="s">
        <v>136</v>
      </c>
      <c r="Z1" s="7" t="s">
        <v>137</v>
      </c>
      <c r="AA1" s="7" t="s">
        <v>138</v>
      </c>
      <c r="AB1" s="7" t="s">
        <v>139</v>
      </c>
      <c r="AC1" s="7" t="s">
        <v>140</v>
      </c>
      <c r="AD1" s="7" t="s">
        <v>141</v>
      </c>
      <c r="AE1" s="7" t="s">
        <v>142</v>
      </c>
      <c r="AF1" s="7" t="s">
        <v>143</v>
      </c>
      <c r="AG1" s="7" t="s">
        <v>144</v>
      </c>
      <c r="AH1" s="7" t="s">
        <v>145</v>
      </c>
      <c r="AI1" s="7" t="s">
        <v>146</v>
      </c>
      <c r="AJ1" s="7" t="s">
        <v>147</v>
      </c>
      <c r="AK1" s="7" t="s">
        <v>148</v>
      </c>
      <c r="AL1" s="7" t="s">
        <v>149</v>
      </c>
      <c r="AM1" s="7" t="s">
        <v>150</v>
      </c>
      <c r="AN1" s="7" t="s">
        <v>151</v>
      </c>
      <c r="AO1" s="7" t="s">
        <v>152</v>
      </c>
      <c r="AP1" s="7" t="s">
        <v>153</v>
      </c>
      <c r="AQ1" s="7" t="s">
        <v>154</v>
      </c>
      <c r="AR1" s="7" t="s">
        <v>155</v>
      </c>
      <c r="AS1" s="7" t="s">
        <v>156</v>
      </c>
      <c r="AT1" s="7" t="s">
        <v>157</v>
      </c>
      <c r="AU1" s="7" t="s">
        <v>158</v>
      </c>
      <c r="AV1" s="7" t="s">
        <v>159</v>
      </c>
      <c r="AW1" s="7" t="s">
        <v>160</v>
      </c>
      <c r="AX1" s="7" t="s">
        <v>161</v>
      </c>
      <c r="AY1" s="7" t="s">
        <v>162</v>
      </c>
      <c r="AZ1" s="7" t="s">
        <v>163</v>
      </c>
      <c r="BA1" s="7" t="s">
        <v>164</v>
      </c>
      <c r="BB1" s="7" t="s">
        <v>165</v>
      </c>
      <c r="BC1" s="7" t="s">
        <v>166</v>
      </c>
      <c r="BD1" s="7" t="s">
        <v>167</v>
      </c>
      <c r="BE1" s="7" t="s">
        <v>168</v>
      </c>
      <c r="BF1" s="7" t="s">
        <v>169</v>
      </c>
      <c r="BG1" s="7" t="s">
        <v>170</v>
      </c>
      <c r="BH1" s="7" t="s">
        <v>171</v>
      </c>
      <c r="BI1" s="7" t="s">
        <v>172</v>
      </c>
      <c r="BJ1" s="7" t="s">
        <v>173</v>
      </c>
      <c r="BK1" s="7" t="s">
        <v>174</v>
      </c>
      <c r="BL1" s="7" t="s">
        <v>175</v>
      </c>
      <c r="BM1" s="7" t="s">
        <v>176</v>
      </c>
      <c r="BN1" s="7" t="s">
        <v>177</v>
      </c>
      <c r="BO1" s="7" t="s">
        <v>178</v>
      </c>
      <c r="BP1" s="7" t="s">
        <v>179</v>
      </c>
      <c r="BQ1" s="7" t="s">
        <v>180</v>
      </c>
      <c r="BR1" s="7" t="s">
        <v>181</v>
      </c>
      <c r="BS1" s="7" t="s">
        <v>182</v>
      </c>
      <c r="BT1" s="7" t="s">
        <v>183</v>
      </c>
      <c r="BU1" s="7" t="s">
        <v>184</v>
      </c>
      <c r="BV1" s="7" t="s">
        <v>185</v>
      </c>
      <c r="BW1" s="7" t="s">
        <v>186</v>
      </c>
      <c r="BX1" s="7" t="s">
        <v>187</v>
      </c>
      <c r="BY1" s="7" t="s">
        <v>188</v>
      </c>
      <c r="BZ1" s="7" t="s">
        <v>189</v>
      </c>
      <c r="CA1" s="7" t="s">
        <v>190</v>
      </c>
      <c r="CB1" s="7" t="s">
        <v>191</v>
      </c>
      <c r="CC1" s="7" t="s">
        <v>192</v>
      </c>
      <c r="CD1" s="7" t="s">
        <v>193</v>
      </c>
      <c r="CE1" s="7" t="s">
        <v>194</v>
      </c>
      <c r="CF1" s="7" t="s">
        <v>195</v>
      </c>
      <c r="CG1" s="7" t="s">
        <v>196</v>
      </c>
      <c r="CH1" s="7" t="s">
        <v>197</v>
      </c>
      <c r="CI1" s="7" t="s">
        <v>198</v>
      </c>
      <c r="CJ1" s="7" t="s">
        <v>199</v>
      </c>
    </row>
    <row r="2">
      <c r="A2" s="7">
        <v>1.0</v>
      </c>
      <c r="B2" s="8">
        <v>0.4399999999999977</v>
      </c>
      <c r="C2" s="37">
        <v>3.0</v>
      </c>
      <c r="D2" s="37">
        <v>2.0</v>
      </c>
      <c r="E2" s="38">
        <f t="shared" ref="E2:E21" si="1">(C2-D2)/(C2+D2)</f>
        <v>0.2</v>
      </c>
      <c r="F2" s="7">
        <v>1.0</v>
      </c>
      <c r="G2" s="7">
        <v>3.0</v>
      </c>
      <c r="H2" s="38">
        <v>-0.5</v>
      </c>
      <c r="I2" s="39">
        <v>1.2816666666666665</v>
      </c>
      <c r="J2" s="8">
        <v>0.4299999999999926</v>
      </c>
      <c r="K2" s="7">
        <v>0.66542750929368</v>
      </c>
      <c r="L2" s="7">
        <v>0.407407407407407</v>
      </c>
      <c r="M2" s="7">
        <v>0.69375</v>
      </c>
      <c r="N2" s="7">
        <v>341.0</v>
      </c>
      <c r="O2" s="7">
        <v>647.0</v>
      </c>
      <c r="P2" s="7">
        <v>1.89736070381231</v>
      </c>
      <c r="Q2" s="7">
        <v>1.07</v>
      </c>
      <c r="R2" s="7">
        <v>0.125</v>
      </c>
      <c r="S2" s="7">
        <v>121.648058492243</v>
      </c>
      <c r="T2" s="7">
        <v>0.705882352941176</v>
      </c>
      <c r="U2" s="7">
        <v>0.651741293532338</v>
      </c>
      <c r="V2" s="7">
        <v>0.25</v>
      </c>
      <c r="W2" s="7">
        <v>0.424657534246575</v>
      </c>
      <c r="X2" s="7">
        <v>0.85</v>
      </c>
      <c r="Y2" s="7">
        <v>0.628571428571428</v>
      </c>
      <c r="Z2" s="7">
        <v>0.818840579710144</v>
      </c>
      <c r="AA2" s="7">
        <v>0.5</v>
      </c>
      <c r="AB2" s="7">
        <v>0.533333333333333</v>
      </c>
      <c r="AC2" s="7">
        <v>199.0</v>
      </c>
      <c r="AD2" s="7">
        <v>372.0</v>
      </c>
      <c r="AE2" s="7">
        <v>1.86934673366834</v>
      </c>
      <c r="AF2" s="7">
        <v>0.41</v>
      </c>
      <c r="AG2" s="7">
        <v>0.12</v>
      </c>
      <c r="AH2" s="7">
        <v>107.70502894084</v>
      </c>
      <c r="AI2" s="7">
        <v>0.785714285714285</v>
      </c>
      <c r="AJ2" s="7">
        <v>0.827272727272727</v>
      </c>
      <c r="AK2" s="7">
        <v>0.666666666666666</v>
      </c>
      <c r="AL2" s="7">
        <v>0.464285714285714</v>
      </c>
      <c r="AM2" s="7">
        <v>0.3</v>
      </c>
      <c r="AN2" s="7">
        <v>0.544444444444444</v>
      </c>
      <c r="AO2" s="7">
        <v>153.0</v>
      </c>
      <c r="AP2" s="7">
        <v>153.0</v>
      </c>
      <c r="AQ2" s="7">
        <v>41.0</v>
      </c>
      <c r="AR2" s="7">
        <v>194.0</v>
      </c>
      <c r="AS2" s="7">
        <v>78.86597938</v>
      </c>
      <c r="AT2" s="7">
        <v>1.26797385620915</v>
      </c>
      <c r="AU2" s="7">
        <v>0.59</v>
      </c>
      <c r="AV2" s="7">
        <v>23.0</v>
      </c>
      <c r="AW2" s="7">
        <v>0.09</v>
      </c>
      <c r="AX2" s="7">
        <v>77.1241830065359</v>
      </c>
      <c r="AY2" s="7">
        <v>22.875816993464</v>
      </c>
      <c r="AZ2" s="7">
        <v>22.0</v>
      </c>
      <c r="BA2" s="7">
        <v>5.36363636363636</v>
      </c>
      <c r="BB2" s="7">
        <v>86.40909091</v>
      </c>
      <c r="BC2" s="7">
        <v>21.9408333333333</v>
      </c>
      <c r="BD2" s="7">
        <v>1.00269664628356</v>
      </c>
      <c r="BE2" s="7">
        <v>167.354948157338</v>
      </c>
      <c r="BF2" s="7">
        <v>2.0</v>
      </c>
      <c r="BG2" s="7">
        <v>18.6818013803342</v>
      </c>
      <c r="BH2" s="7">
        <v>92.30769231</v>
      </c>
      <c r="BI2" s="7">
        <v>7.69230769230769</v>
      </c>
      <c r="BJ2" s="7">
        <v>39.0</v>
      </c>
      <c r="BK2" s="7">
        <v>7.0</v>
      </c>
      <c r="BL2" s="7">
        <v>5.14285714285714</v>
      </c>
      <c r="BM2" s="7">
        <v>93.7142857142857</v>
      </c>
      <c r="BN2" s="7">
        <v>0.319039841999316</v>
      </c>
      <c r="BO2" s="7">
        <v>76.4705882352941</v>
      </c>
      <c r="BP2" s="7">
        <v>71.92982456</v>
      </c>
      <c r="BQ2" s="7">
        <v>28.0701754385964</v>
      </c>
      <c r="BR2" s="7">
        <v>114.0</v>
      </c>
      <c r="BS2" s="7">
        <v>15.0</v>
      </c>
      <c r="BT2" s="7">
        <v>5.46666666666666</v>
      </c>
      <c r="BU2" s="7">
        <v>83.0</v>
      </c>
      <c r="BV2" s="7">
        <v>1.35023629135098</v>
      </c>
      <c r="BW2" s="7">
        <v>79.7202797202797</v>
      </c>
      <c r="BX2" s="7">
        <v>550.0</v>
      </c>
      <c r="BY2" s="7">
        <v>143.0</v>
      </c>
      <c r="BZ2" s="7">
        <v>693.0</v>
      </c>
      <c r="CA2" s="7">
        <v>79.3650793650793</v>
      </c>
      <c r="CB2" s="7">
        <v>6.66346153846153</v>
      </c>
      <c r="CC2" s="7">
        <v>6.0</v>
      </c>
      <c r="CD2" s="7">
        <v>16.0</v>
      </c>
      <c r="CE2" s="7">
        <v>55.4372370223214</v>
      </c>
      <c r="CF2" s="7">
        <v>16.345897750124</v>
      </c>
      <c r="CG2" s="7">
        <v>6.03482381904348</v>
      </c>
      <c r="CH2" s="7">
        <v>2.17086220737139</v>
      </c>
      <c r="CI2" s="7">
        <v>5.72844628680252</v>
      </c>
      <c r="CJ2" s="7">
        <v>2.027416877</v>
      </c>
    </row>
    <row r="3">
      <c r="A3" s="7">
        <v>2.0</v>
      </c>
      <c r="B3" s="8">
        <v>0.9199999999999982</v>
      </c>
      <c r="C3" s="37">
        <v>0.0</v>
      </c>
      <c r="D3" s="37">
        <v>5.0</v>
      </c>
      <c r="E3" s="38">
        <f t="shared" si="1"/>
        <v>-1</v>
      </c>
      <c r="F3" s="7">
        <v>2.0</v>
      </c>
      <c r="G3" s="7">
        <v>3.0</v>
      </c>
      <c r="H3" s="38">
        <v>-0.2</v>
      </c>
      <c r="I3" s="39">
        <v>0.8358333333333334</v>
      </c>
      <c r="J3" s="8">
        <v>0.38000000000000966</v>
      </c>
      <c r="K3" s="7">
        <v>0.543478260869565</v>
      </c>
      <c r="L3" s="7">
        <v>0.489361702127659</v>
      </c>
      <c r="M3" s="7">
        <v>0.69</v>
      </c>
      <c r="N3" s="7">
        <v>222.0</v>
      </c>
      <c r="O3" s="7">
        <v>458.0</v>
      </c>
      <c r="P3" s="7">
        <v>2.06306306306306</v>
      </c>
      <c r="Q3" s="7">
        <v>2.75</v>
      </c>
      <c r="R3" s="7">
        <v>0.2</v>
      </c>
      <c r="S3" s="7">
        <v>75.3248691294803</v>
      </c>
      <c r="T3" s="7">
        <v>0.4</v>
      </c>
      <c r="U3" s="7">
        <v>0.560975609756097</v>
      </c>
      <c r="V3" s="7">
        <v>0.666666666666666</v>
      </c>
      <c r="W3" s="7">
        <v>0.477272727272727</v>
      </c>
      <c r="X3" s="7">
        <v>0.65</v>
      </c>
      <c r="Y3" s="7">
        <v>0.7</v>
      </c>
      <c r="Z3" s="7">
        <v>0.700680272108843</v>
      </c>
      <c r="AA3" s="7">
        <v>0.351351351351351</v>
      </c>
      <c r="AB3" s="7">
        <v>0.58</v>
      </c>
      <c r="AC3" s="7">
        <v>210.0</v>
      </c>
      <c r="AD3" s="7">
        <v>412.0</v>
      </c>
      <c r="AE3" s="7">
        <v>1.96190476190476</v>
      </c>
      <c r="AF3" s="7">
        <v>0.47</v>
      </c>
      <c r="AG3" s="7">
        <v>0.22</v>
      </c>
      <c r="AH3" s="7">
        <v>109.719238060846</v>
      </c>
      <c r="AI3" s="7">
        <v>0.777777777777777</v>
      </c>
      <c r="AJ3" s="7">
        <v>0.675675675675675</v>
      </c>
      <c r="AK3" s="7">
        <v>0.666666666666666</v>
      </c>
      <c r="AL3" s="7">
        <v>0.290322580645161</v>
      </c>
      <c r="AM3" s="7">
        <v>0.75</v>
      </c>
      <c r="AN3" s="7">
        <v>0.533333333333333</v>
      </c>
      <c r="AO3" s="7">
        <v>24.0</v>
      </c>
      <c r="AP3" s="7">
        <v>25.0</v>
      </c>
      <c r="AQ3" s="7">
        <v>6.0</v>
      </c>
      <c r="AR3" s="7">
        <v>31.0</v>
      </c>
      <c r="AS3" s="7">
        <v>80.6451612903225</v>
      </c>
      <c r="AT3" s="7">
        <v>1.29166666666666</v>
      </c>
      <c r="AU3" s="7">
        <v>0.06</v>
      </c>
      <c r="AV3" s="7">
        <v>8.0</v>
      </c>
      <c r="AW3" s="7">
        <v>0.4</v>
      </c>
      <c r="AX3" s="7">
        <v>91.6666666666666</v>
      </c>
      <c r="AY3" s="7">
        <v>8.33333333333333</v>
      </c>
      <c r="AZ3" s="7">
        <v>3.0</v>
      </c>
      <c r="BA3" s="7">
        <v>7.33333333333333</v>
      </c>
      <c r="BB3" s="7">
        <v>71.6666666666666</v>
      </c>
      <c r="BC3" s="7">
        <v>0.838611111111111</v>
      </c>
      <c r="BD3" s="7">
        <v>3.57734349122225</v>
      </c>
      <c r="BE3" s="7">
        <v>26.2240946009931</v>
      </c>
      <c r="BF3" s="7">
        <v>51.0</v>
      </c>
      <c r="BG3" s="7">
        <v>7.16289019513424</v>
      </c>
      <c r="BH3" s="7">
        <v>91.6666666666666</v>
      </c>
      <c r="BI3" s="7">
        <v>8.33333333333333</v>
      </c>
      <c r="BJ3" s="7">
        <v>24.0</v>
      </c>
      <c r="BK3" s="7">
        <v>3.0</v>
      </c>
      <c r="BL3" s="7">
        <v>7.33333333333333</v>
      </c>
      <c r="BM3" s="7">
        <v>71.6666666666666</v>
      </c>
      <c r="BN3" s="7">
        <v>3.57734349122225</v>
      </c>
      <c r="BO3" s="7">
        <v>80.6451612903225</v>
      </c>
      <c r="BP3" s="7"/>
      <c r="BQ3" s="7"/>
      <c r="BS3" s="7"/>
      <c r="BT3" s="7"/>
      <c r="BU3" s="7"/>
      <c r="BV3" s="7"/>
      <c r="BW3" s="7"/>
      <c r="BX3" s="7">
        <v>906.0</v>
      </c>
      <c r="BY3" s="7">
        <v>503.0</v>
      </c>
      <c r="BZ3" s="7">
        <v>1409.0</v>
      </c>
      <c r="CA3" s="7">
        <v>64.3009226401703</v>
      </c>
      <c r="CB3" s="7">
        <v>10.7557251908396</v>
      </c>
      <c r="CC3" s="7">
        <v>4.0</v>
      </c>
      <c r="CD3" s="7">
        <v>18.0</v>
      </c>
      <c r="CE3" s="7">
        <v>69.603291249777</v>
      </c>
      <c r="CF3" s="7">
        <v>21.6054266201222</v>
      </c>
      <c r="CG3" s="7">
        <v>4.28150243593225</v>
      </c>
      <c r="CH3" s="7">
        <v>1.47016082996786</v>
      </c>
      <c r="CI3" s="7">
        <v>5.24394894334425</v>
      </c>
      <c r="CJ3" s="7">
        <v>1.66614287646312</v>
      </c>
    </row>
    <row r="4">
      <c r="A4" s="7">
        <v>3.0</v>
      </c>
      <c r="B4" s="8">
        <v>1.4299999999999997</v>
      </c>
      <c r="C4" s="37">
        <v>5.0</v>
      </c>
      <c r="D4" s="37">
        <v>7.0</v>
      </c>
      <c r="E4" s="38">
        <f t="shared" si="1"/>
        <v>-0.1666666667</v>
      </c>
      <c r="F4" s="7">
        <v>2.0</v>
      </c>
      <c r="G4" s="7">
        <v>6.0</v>
      </c>
      <c r="H4" s="38">
        <v>-0.5</v>
      </c>
      <c r="I4" s="39">
        <v>1.2149999999999992</v>
      </c>
      <c r="J4" s="8">
        <v>0.14000000000000057</v>
      </c>
      <c r="K4" s="7">
        <v>0.77112676056338</v>
      </c>
      <c r="L4" s="7">
        <v>0.391304348</v>
      </c>
      <c r="M4" s="7">
        <v>0.777777777777777</v>
      </c>
      <c r="N4" s="7">
        <v>370.0</v>
      </c>
      <c r="O4" s="7">
        <v>613.0</v>
      </c>
      <c r="P4" s="7">
        <v>1.65675675675675</v>
      </c>
      <c r="Q4" s="7">
        <v>1.07</v>
      </c>
      <c r="R4" s="7">
        <v>0.14</v>
      </c>
      <c r="S4" s="7">
        <v>127.385011564415</v>
      </c>
      <c r="T4" s="7">
        <v>0.807692307692307</v>
      </c>
      <c r="U4" s="7">
        <v>0.762931034482758</v>
      </c>
      <c r="V4" s="7">
        <v>0.0</v>
      </c>
      <c r="W4" s="7">
        <v>0.428571428571428</v>
      </c>
      <c r="X4" s="7">
        <v>0.675</v>
      </c>
      <c r="Y4" s="7">
        <v>0.776470588235294</v>
      </c>
      <c r="Z4" s="7">
        <v>0.915584415584415</v>
      </c>
      <c r="AA4" s="7">
        <v>0.615384615384615</v>
      </c>
      <c r="AB4" s="7">
        <v>0.672727272727272</v>
      </c>
      <c r="AC4" s="7">
        <v>240.0</v>
      </c>
      <c r="AD4" s="7">
        <v>418.0</v>
      </c>
      <c r="AE4" s="7">
        <v>1.74166666666666</v>
      </c>
      <c r="AF4" s="7">
        <v>0.59</v>
      </c>
      <c r="AG4" s="7">
        <v>0.15</v>
      </c>
      <c r="AH4" s="7">
        <v>125.471212900493</v>
      </c>
      <c r="AI4" s="7">
        <v>1.0</v>
      </c>
      <c r="AJ4" s="7">
        <v>0.888888888888888</v>
      </c>
      <c r="AK4" s="7">
        <v>0.714285714285714</v>
      </c>
      <c r="AL4" s="7">
        <v>0.578947368421052</v>
      </c>
      <c r="AM4" s="7">
        <v>0.766666666666666</v>
      </c>
      <c r="AN4" s="7">
        <v>0.65</v>
      </c>
      <c r="AO4" s="7">
        <v>131.0</v>
      </c>
      <c r="AP4" s="7">
        <v>131.0</v>
      </c>
      <c r="AQ4" s="7">
        <v>76.0</v>
      </c>
      <c r="AR4" s="7">
        <v>207.0</v>
      </c>
      <c r="AS4" s="7">
        <v>63.2850241545893</v>
      </c>
      <c r="AT4" s="7">
        <v>1.58015267175572</v>
      </c>
      <c r="AU4" s="7">
        <v>0.59</v>
      </c>
      <c r="AV4" s="7">
        <v>23.5</v>
      </c>
      <c r="AW4" s="7">
        <v>0.12</v>
      </c>
      <c r="AX4" s="7">
        <v>75.5725190839694</v>
      </c>
      <c r="AY4" s="7">
        <v>24.4274809160305</v>
      </c>
      <c r="AZ4" s="7">
        <v>20.0</v>
      </c>
      <c r="BA4" s="7">
        <v>4.95</v>
      </c>
      <c r="BB4" s="7">
        <v>70.35</v>
      </c>
      <c r="BC4" s="7">
        <v>20.575</v>
      </c>
      <c r="BD4" s="7">
        <v>0.972053462940461</v>
      </c>
      <c r="BE4" s="7">
        <v>152.72845036973</v>
      </c>
      <c r="BF4" s="7">
        <v>3.0</v>
      </c>
      <c r="BG4" s="7">
        <v>13.445832327582</v>
      </c>
      <c r="BH4" s="7">
        <v>71.4285714285714</v>
      </c>
      <c r="BI4" s="7">
        <v>28.5714285714285</v>
      </c>
      <c r="BJ4" s="7">
        <v>28.0</v>
      </c>
      <c r="BK4" s="7">
        <v>4.0</v>
      </c>
      <c r="BL4" s="7">
        <v>5.0</v>
      </c>
      <c r="BM4" s="7">
        <v>84.25</v>
      </c>
      <c r="BN4" s="7">
        <v>0.194410692588092</v>
      </c>
      <c r="BO4" s="7">
        <v>58.3333333333333</v>
      </c>
      <c r="BP4" s="7">
        <v>76.6990291262135</v>
      </c>
      <c r="BQ4" s="7">
        <v>23.3009708737864</v>
      </c>
      <c r="BR4" s="7">
        <v>103.0</v>
      </c>
      <c r="BS4" s="7">
        <v>17.0</v>
      </c>
      <c r="BT4" s="7">
        <v>4.64705882352941</v>
      </c>
      <c r="BU4" s="7">
        <v>60.0</v>
      </c>
      <c r="BV4" s="7">
        <v>1.45541022592152</v>
      </c>
      <c r="BW4" s="7">
        <v>64.7798742138364</v>
      </c>
      <c r="BX4" s="7">
        <v>1157.0</v>
      </c>
      <c r="BY4" s="7">
        <v>450.0</v>
      </c>
      <c r="BZ4" s="7">
        <v>1607.0</v>
      </c>
      <c r="CA4" s="7">
        <v>71.9975108898568</v>
      </c>
      <c r="CB4" s="7">
        <v>12.9596774193548</v>
      </c>
      <c r="CC4" s="7">
        <v>4.5</v>
      </c>
      <c r="CD4" s="7">
        <v>14.0</v>
      </c>
      <c r="CE4" s="7">
        <v>65.7772429502016</v>
      </c>
      <c r="CF4" s="7">
        <v>17.4529807600967</v>
      </c>
      <c r="CG4" s="7">
        <v>4.18710544467404</v>
      </c>
      <c r="CH4" s="7">
        <v>1.27827068882118</v>
      </c>
      <c r="CI4" s="7">
        <v>5.47136095492219</v>
      </c>
      <c r="CJ4" s="7">
        <v>1.44883954776957</v>
      </c>
    </row>
    <row r="5">
      <c r="A5" s="7">
        <v>4.0</v>
      </c>
      <c r="B5" s="8">
        <v>0.259999999999998</v>
      </c>
      <c r="C5" s="37">
        <v>4.0</v>
      </c>
      <c r="D5" s="37">
        <v>1.0</v>
      </c>
      <c r="E5" s="38">
        <f t="shared" si="1"/>
        <v>0.6</v>
      </c>
      <c r="F5" s="7">
        <v>0.0</v>
      </c>
      <c r="G5" s="7">
        <v>1.0</v>
      </c>
      <c r="H5" s="38">
        <v>-1.0</v>
      </c>
      <c r="I5" s="39">
        <v>0.9050000000000006</v>
      </c>
      <c r="J5" s="8">
        <v>0.35999999999999943</v>
      </c>
      <c r="K5" s="7">
        <v>0.841530054644808</v>
      </c>
      <c r="L5" s="7">
        <v>0.545454545454545</v>
      </c>
      <c r="M5" s="7">
        <v>0.85</v>
      </c>
      <c r="N5" s="7">
        <v>458.0</v>
      </c>
      <c r="O5" s="7">
        <v>671.0</v>
      </c>
      <c r="P5" s="7">
        <v>1.4650655021834</v>
      </c>
      <c r="Q5" s="7">
        <v>0.65</v>
      </c>
      <c r="R5" s="7">
        <v>0.14</v>
      </c>
      <c r="S5" s="7">
        <v>162.959119380304</v>
      </c>
      <c r="T5" s="7">
        <v>0.857142857142857</v>
      </c>
      <c r="U5" s="7">
        <v>0.838187702265372</v>
      </c>
      <c r="V5" s="7">
        <v>0.5</v>
      </c>
      <c r="W5" s="7">
        <v>0.555555555555555</v>
      </c>
      <c r="X5" s="7">
        <v>0.8</v>
      </c>
      <c r="Y5" s="7">
        <v>0.826315789473684</v>
      </c>
      <c r="Z5" s="7">
        <v>0.923976608187134</v>
      </c>
      <c r="AA5" s="7">
        <v>0.4</v>
      </c>
      <c r="AB5" s="7">
        <v>0.788888888888888</v>
      </c>
      <c r="AC5" s="7">
        <v>200.0</v>
      </c>
      <c r="AD5" s="7">
        <v>389.0</v>
      </c>
      <c r="AE5" s="7">
        <v>1.945</v>
      </c>
      <c r="AF5" s="7">
        <v>0.35</v>
      </c>
      <c r="AG5" s="7">
        <v>0.13</v>
      </c>
      <c r="AH5" s="7">
        <v>105.503522889624</v>
      </c>
      <c r="AI5" s="7">
        <v>0.923076923076923</v>
      </c>
      <c r="AJ5" s="7">
        <v>0.924242424242424</v>
      </c>
      <c r="AK5" s="7">
        <v>0.285714285714285</v>
      </c>
      <c r="AL5" s="7">
        <v>0.461538461538461</v>
      </c>
      <c r="AM5" s="7">
        <v>0.566666666666666</v>
      </c>
      <c r="AN5" s="7">
        <v>0.857142857</v>
      </c>
      <c r="AO5" s="7">
        <v>191.0</v>
      </c>
      <c r="AP5" s="7">
        <v>191.0</v>
      </c>
      <c r="AQ5" s="7">
        <v>44.0</v>
      </c>
      <c r="AR5" s="7">
        <v>235.0</v>
      </c>
      <c r="AS5" s="7">
        <v>81.2765957446808</v>
      </c>
      <c r="AT5" s="7">
        <v>1.23036649214659</v>
      </c>
      <c r="AU5" s="7">
        <v>0.35</v>
      </c>
      <c r="AV5" s="7">
        <v>18.0</v>
      </c>
      <c r="AW5" s="7">
        <v>0.11</v>
      </c>
      <c r="AX5" s="7">
        <v>87.4345549738219</v>
      </c>
      <c r="AY5" s="7">
        <v>12.565445026178</v>
      </c>
      <c r="AZ5" s="7">
        <v>17.0</v>
      </c>
      <c r="BA5" s="7">
        <v>9.8235294117647</v>
      </c>
      <c r="BB5" s="7">
        <v>152.941176470588</v>
      </c>
      <c r="BC5" s="7">
        <v>20.9575</v>
      </c>
      <c r="BD5" s="7">
        <v>0.811165453894787</v>
      </c>
      <c r="BE5" s="7">
        <v>218.349255074227</v>
      </c>
      <c r="BF5" s="7">
        <v>2.0</v>
      </c>
      <c r="BG5" s="7">
        <v>15.62084759503</v>
      </c>
      <c r="BH5" s="7">
        <v>93.6507936507936</v>
      </c>
      <c r="BI5" s="7">
        <v>6.34920634920634</v>
      </c>
      <c r="BJ5" s="7">
        <v>63.0</v>
      </c>
      <c r="BK5" s="7">
        <v>7.0</v>
      </c>
      <c r="BL5" s="7">
        <v>8.42857142857142</v>
      </c>
      <c r="BM5" s="7">
        <v>131.571428571428</v>
      </c>
      <c r="BN5" s="7">
        <v>0.334009304544912</v>
      </c>
      <c r="BO5" s="7">
        <v>86.30136986</v>
      </c>
      <c r="BP5" s="7">
        <v>84.375</v>
      </c>
      <c r="BQ5" s="7">
        <v>15.625</v>
      </c>
      <c r="BR5" s="7">
        <v>128.0</v>
      </c>
      <c r="BS5" s="7">
        <v>10.0</v>
      </c>
      <c r="BT5" s="7">
        <v>10.8</v>
      </c>
      <c r="BU5" s="7">
        <v>167.9</v>
      </c>
      <c r="BV5" s="7">
        <v>0.864719446579554</v>
      </c>
      <c r="BW5" s="7">
        <v>79.0123456790123</v>
      </c>
      <c r="BX5" s="7">
        <v>1377.0</v>
      </c>
      <c r="BY5" s="7">
        <v>276.0</v>
      </c>
      <c r="BZ5" s="7">
        <v>1653.0</v>
      </c>
      <c r="CA5" s="7">
        <v>83.3030852994555</v>
      </c>
      <c r="CB5" s="7">
        <v>12.7153846153846</v>
      </c>
      <c r="CC5" s="7">
        <v>3.0</v>
      </c>
      <c r="CD5" s="7">
        <v>15.0</v>
      </c>
      <c r="CE5" s="7">
        <v>68.6829650103342</v>
      </c>
      <c r="CF5" s="7">
        <v>24.0057073169643</v>
      </c>
      <c r="CG5" s="7">
        <v>2.23187594618685</v>
      </c>
      <c r="CH5" s="7">
        <v>1.03776977705236</v>
      </c>
      <c r="CI5" s="7">
        <v>4.7487963678728</v>
      </c>
      <c r="CJ5" s="7">
        <v>1.333071214</v>
      </c>
    </row>
    <row r="6">
      <c r="A6" s="7">
        <v>5.0</v>
      </c>
      <c r="B6" s="8">
        <v>0.28999999999999915</v>
      </c>
      <c r="C6" s="37">
        <v>20.0</v>
      </c>
      <c r="D6" s="37">
        <v>0.0</v>
      </c>
      <c r="E6" s="38">
        <f t="shared" si="1"/>
        <v>1</v>
      </c>
      <c r="F6" s="7">
        <v>1.0</v>
      </c>
      <c r="G6" s="7">
        <v>4.0</v>
      </c>
      <c r="H6" s="38">
        <v>-0.6</v>
      </c>
      <c r="I6" s="39">
        <v>0.5608333333333345</v>
      </c>
      <c r="J6" s="8">
        <v>0.14000000000000057</v>
      </c>
      <c r="K6" s="7">
        <v>0.691891891891891</v>
      </c>
      <c r="L6" s="7">
        <v>0.476190476190476</v>
      </c>
      <c r="M6" s="7">
        <v>0.743478260869565</v>
      </c>
      <c r="N6" s="7">
        <v>482.0</v>
      </c>
      <c r="O6" s="7">
        <v>822.0</v>
      </c>
      <c r="P6" s="7">
        <v>1.70539419087136</v>
      </c>
      <c r="Q6" s="7">
        <v>0.95</v>
      </c>
      <c r="R6" s="7">
        <v>0.13</v>
      </c>
      <c r="S6" s="7">
        <v>165.148354655266</v>
      </c>
      <c r="T6" s="7">
        <v>0.666666666666666</v>
      </c>
      <c r="U6" s="7">
        <v>0.698630136986301</v>
      </c>
      <c r="V6" s="7">
        <v>0.642857142857142</v>
      </c>
      <c r="W6" s="7">
        <v>0.442857142857142</v>
      </c>
      <c r="X6" s="7">
        <v>0.7</v>
      </c>
      <c r="Y6" s="7">
        <v>0.75</v>
      </c>
      <c r="Z6" s="7">
        <v>0.716666666666666</v>
      </c>
      <c r="AA6" s="7">
        <v>0.518518518518518</v>
      </c>
      <c r="AB6" s="7">
        <v>0.554545454545454</v>
      </c>
      <c r="AC6" s="7">
        <v>235.0</v>
      </c>
      <c r="AD6" s="7">
        <v>446.0</v>
      </c>
      <c r="AE6" s="7">
        <v>1.89787234042553</v>
      </c>
      <c r="AF6" s="7">
        <v>0.41</v>
      </c>
      <c r="AG6" s="7">
        <v>0.11</v>
      </c>
      <c r="AH6" s="7">
        <v>133.729463846532</v>
      </c>
      <c r="AI6" s="7">
        <v>0.827586206896551</v>
      </c>
      <c r="AJ6" s="7">
        <v>0.695364238</v>
      </c>
      <c r="AK6" s="7">
        <v>0.75</v>
      </c>
      <c r="AL6" s="7">
        <v>0.478260869565217</v>
      </c>
      <c r="AM6" s="7">
        <v>0.533333333333333</v>
      </c>
      <c r="AN6" s="7">
        <v>0.53</v>
      </c>
      <c r="AO6" s="7">
        <v>142.0</v>
      </c>
      <c r="AP6" s="7">
        <v>142.0</v>
      </c>
      <c r="AQ6" s="7">
        <v>65.0</v>
      </c>
      <c r="AR6" s="7">
        <v>207.0</v>
      </c>
      <c r="AS6" s="7">
        <v>68.5990338164251</v>
      </c>
      <c r="AT6" s="7">
        <v>1.45774647887323</v>
      </c>
      <c r="AU6" s="7">
        <v>0.47</v>
      </c>
      <c r="AV6" s="7">
        <v>21.0</v>
      </c>
      <c r="AW6" s="7">
        <v>0.11</v>
      </c>
      <c r="AX6" s="7">
        <v>64.0845070422535</v>
      </c>
      <c r="AY6" s="7">
        <v>35.9154929577464</v>
      </c>
      <c r="AZ6" s="7">
        <v>20.0</v>
      </c>
      <c r="BA6" s="7">
        <v>4.55</v>
      </c>
      <c r="BB6" s="7">
        <v>54.55</v>
      </c>
      <c r="BC6" s="7">
        <v>21.1822222222222</v>
      </c>
      <c r="BD6" s="7">
        <v>0.944187998321443</v>
      </c>
      <c r="BE6" s="7">
        <v>160.67892503536</v>
      </c>
      <c r="BF6" s="7">
        <v>0.0</v>
      </c>
      <c r="BG6" s="7">
        <v>13.9666881845885</v>
      </c>
      <c r="BH6" s="7">
        <v>66.6666666666666</v>
      </c>
      <c r="BI6" s="7">
        <v>33.3333333333333</v>
      </c>
      <c r="BJ6" s="7">
        <v>18.0</v>
      </c>
      <c r="BK6" s="7">
        <v>2.0</v>
      </c>
      <c r="BL6" s="7">
        <v>6.0</v>
      </c>
      <c r="BM6" s="7">
        <v>83.0</v>
      </c>
      <c r="BN6" s="7">
        <v>0.0944188</v>
      </c>
      <c r="BO6" s="7">
        <v>81.8181818181818</v>
      </c>
      <c r="BP6" s="7">
        <v>63.7096774193548</v>
      </c>
      <c r="BQ6" s="7">
        <v>36.2903225806451</v>
      </c>
      <c r="BR6" s="7">
        <v>124.0</v>
      </c>
      <c r="BS6" s="7">
        <v>18.0</v>
      </c>
      <c r="BT6" s="7">
        <v>4.38888888888888</v>
      </c>
      <c r="BU6" s="7">
        <v>51.3888888888888</v>
      </c>
      <c r="BV6" s="7">
        <v>1.53816938853019</v>
      </c>
      <c r="BW6" s="7">
        <v>67.027027027027</v>
      </c>
      <c r="BX6" s="7">
        <v>691.0</v>
      </c>
      <c r="BY6" s="7">
        <v>389.0</v>
      </c>
      <c r="BZ6" s="7">
        <v>1080.0</v>
      </c>
      <c r="CA6" s="7">
        <v>63.9814814814814</v>
      </c>
      <c r="CB6" s="7">
        <v>8.0</v>
      </c>
      <c r="CC6" s="7">
        <v>4.0</v>
      </c>
      <c r="CD6" s="7">
        <v>24.0</v>
      </c>
      <c r="CE6" s="7">
        <v>70.3931248415792</v>
      </c>
      <c r="CF6" s="7">
        <v>25.5805267742977</v>
      </c>
      <c r="CG6" s="7">
        <v>4.68388969026801</v>
      </c>
      <c r="CH6" s="7">
        <v>2.4914551508526</v>
      </c>
      <c r="CI6" s="7">
        <v>4.79916962449219</v>
      </c>
      <c r="CJ6" s="7">
        <v>2.56424348154676</v>
      </c>
    </row>
    <row r="7">
      <c r="A7" s="7">
        <v>6.0</v>
      </c>
      <c r="B7" s="8">
        <v>1.2199999999999989</v>
      </c>
      <c r="C7" s="37">
        <v>19.0</v>
      </c>
      <c r="D7" s="37">
        <v>0.0</v>
      </c>
      <c r="E7" s="38">
        <f t="shared" si="1"/>
        <v>1</v>
      </c>
      <c r="F7" s="7">
        <v>2.0</v>
      </c>
      <c r="G7" s="7">
        <v>0.0</v>
      </c>
      <c r="H7" s="38">
        <v>1.0</v>
      </c>
      <c r="I7" s="39">
        <v>1.425000000000001</v>
      </c>
      <c r="J7" s="8">
        <v>0.28000000000000114</v>
      </c>
      <c r="K7" s="7">
        <v>0.816326530612244</v>
      </c>
      <c r="L7" s="7">
        <v>0.539682539682539</v>
      </c>
      <c r="M7" s="7">
        <v>0.746153846153846</v>
      </c>
      <c r="N7" s="7">
        <v>532.0</v>
      </c>
      <c r="O7" s="7">
        <v>836.0</v>
      </c>
      <c r="P7" s="7">
        <v>1.57142857142857</v>
      </c>
      <c r="Q7" s="7">
        <v>0.83</v>
      </c>
      <c r="R7" s="7">
        <v>0.1</v>
      </c>
      <c r="S7" s="7">
        <v>181.765982940457</v>
      </c>
      <c r="T7" s="7">
        <v>0.82716049382716</v>
      </c>
      <c r="U7" s="7">
        <v>0.813504823151125</v>
      </c>
      <c r="V7" s="7">
        <v>0.363636363636363</v>
      </c>
      <c r="W7" s="7">
        <v>0.576923076923076</v>
      </c>
      <c r="X7" s="7">
        <v>0.783333333333333</v>
      </c>
      <c r="Y7" s="7">
        <v>0.740909091</v>
      </c>
      <c r="Z7" s="7">
        <v>0.859459459459459</v>
      </c>
      <c r="AA7" s="7">
        <v>0.652173913043478</v>
      </c>
      <c r="AB7" s="7">
        <v>0.672727272727272</v>
      </c>
      <c r="AC7" s="7">
        <v>232.0</v>
      </c>
      <c r="AD7" s="7">
        <v>429.0</v>
      </c>
      <c r="AE7" s="7">
        <v>1.84913793103448</v>
      </c>
      <c r="AF7" s="7">
        <v>0.41</v>
      </c>
      <c r="AG7" s="7">
        <v>0.11</v>
      </c>
      <c r="AH7" s="7">
        <v>131.475071513473</v>
      </c>
      <c r="AI7" s="7">
        <v>0.805555555555555</v>
      </c>
      <c r="AJ7" s="7">
        <v>0.872483221</v>
      </c>
      <c r="AK7" s="7">
        <v>0.4</v>
      </c>
      <c r="AL7" s="7">
        <v>0.682926829268292</v>
      </c>
      <c r="AM7" s="7">
        <v>0.666666666666666</v>
      </c>
      <c r="AN7" s="7">
        <v>0.6625</v>
      </c>
      <c r="AO7" s="7">
        <v>151.0</v>
      </c>
      <c r="AP7" s="7">
        <v>151.0</v>
      </c>
      <c r="AQ7" s="7">
        <v>47.0</v>
      </c>
      <c r="AR7" s="7">
        <v>198.0</v>
      </c>
      <c r="AS7" s="7">
        <v>76.2626262626262</v>
      </c>
      <c r="AT7" s="7">
        <v>1.31125827814569</v>
      </c>
      <c r="AU7" s="7">
        <v>0.41</v>
      </c>
      <c r="AV7" s="7">
        <v>15.0</v>
      </c>
      <c r="AW7" s="7">
        <v>0.09</v>
      </c>
      <c r="AX7" s="7">
        <v>82.1192052980132</v>
      </c>
      <c r="AY7" s="7">
        <v>17.8807947019867</v>
      </c>
      <c r="AZ7" s="7">
        <v>12.0</v>
      </c>
      <c r="BA7" s="7">
        <v>10.3333333333333</v>
      </c>
      <c r="BB7" s="7">
        <v>133.333333333333</v>
      </c>
      <c r="BC7" s="7">
        <v>19.9877777777777</v>
      </c>
      <c r="BD7" s="7">
        <v>0.600366890877758</v>
      </c>
      <c r="BE7" s="7">
        <v>181.139620126624</v>
      </c>
      <c r="BF7" s="7">
        <v>2.0</v>
      </c>
      <c r="BG7" s="7">
        <v>10.8287825287207</v>
      </c>
      <c r="BH7" s="7">
        <v>89.3617021276595</v>
      </c>
      <c r="BI7" s="7">
        <v>10.6382978723404</v>
      </c>
      <c r="BJ7" s="7">
        <v>47.0</v>
      </c>
      <c r="BK7" s="7">
        <v>5.0</v>
      </c>
      <c r="BL7" s="7">
        <v>8.4</v>
      </c>
      <c r="BM7" s="7">
        <v>105.6</v>
      </c>
      <c r="BN7" s="7">
        <v>0.250152871199066</v>
      </c>
      <c r="BO7" s="7">
        <v>78.3333333333333</v>
      </c>
      <c r="BP7" s="7">
        <v>78.8461538461538</v>
      </c>
      <c r="BQ7" s="7">
        <v>21.1538461538461</v>
      </c>
      <c r="BR7" s="7">
        <v>104.0</v>
      </c>
      <c r="BS7" s="7">
        <v>7.0</v>
      </c>
      <c r="BT7" s="7">
        <v>11.7142857142857</v>
      </c>
      <c r="BU7" s="7">
        <v>153.142857142857</v>
      </c>
      <c r="BV7" s="7">
        <v>0.605478135511773</v>
      </c>
      <c r="BW7" s="7">
        <v>75.3623188405797</v>
      </c>
      <c r="BX7" s="7">
        <v>926.0</v>
      </c>
      <c r="BY7" s="7">
        <v>330.0</v>
      </c>
      <c r="BZ7" s="7">
        <v>1256.0</v>
      </c>
      <c r="CA7" s="7">
        <v>73.7261146496815</v>
      </c>
      <c r="CB7" s="7">
        <v>10.1290322580645</v>
      </c>
      <c r="CC7" s="7">
        <v>4.0</v>
      </c>
      <c r="CD7" s="7">
        <v>15.0</v>
      </c>
      <c r="CE7" s="7">
        <v>64.9202857714192</v>
      </c>
      <c r="CF7" s="7">
        <v>18.3775375547031</v>
      </c>
      <c r="CG7" s="7">
        <v>4.79350558743252</v>
      </c>
      <c r="CH7" s="7">
        <v>1.53012729608218</v>
      </c>
      <c r="CI7" s="7">
        <v>5.90464021872863</v>
      </c>
      <c r="CJ7" s="7">
        <v>1.732583865</v>
      </c>
    </row>
    <row r="8">
      <c r="A8" s="7">
        <v>7.0</v>
      </c>
      <c r="B8" s="8">
        <v>1.25</v>
      </c>
      <c r="C8" s="37">
        <v>7.0</v>
      </c>
      <c r="D8" s="37">
        <v>0.0</v>
      </c>
      <c r="E8" s="38">
        <f t="shared" si="1"/>
        <v>1</v>
      </c>
      <c r="F8" s="7">
        <v>4.0</v>
      </c>
      <c r="G8" s="7">
        <v>3.0</v>
      </c>
      <c r="H8" s="38">
        <v>0.14285714285714285</v>
      </c>
      <c r="I8" s="39">
        <v>0.6783333333333333</v>
      </c>
      <c r="J8" s="8">
        <v>0.44000000000001194</v>
      </c>
      <c r="K8" s="7">
        <v>0.667638483965014</v>
      </c>
      <c r="L8" s="7">
        <v>0.443396226415094</v>
      </c>
      <c r="M8" s="7">
        <v>0.691304348</v>
      </c>
      <c r="N8" s="7">
        <v>466.0</v>
      </c>
      <c r="O8" s="7">
        <v>842.0</v>
      </c>
      <c r="P8" s="7">
        <v>1.80686695278969</v>
      </c>
      <c r="Q8" s="7">
        <v>1.07</v>
      </c>
      <c r="R8" s="7">
        <v>0.11</v>
      </c>
      <c r="S8" s="7">
        <v>159.611383181562</v>
      </c>
      <c r="T8" s="7">
        <v>0.647887324</v>
      </c>
      <c r="U8" s="7">
        <v>0.672794117647058</v>
      </c>
      <c r="V8" s="7">
        <v>0.470588235294117</v>
      </c>
      <c r="W8" s="7">
        <v>0.438202247191011</v>
      </c>
      <c r="X8" s="7">
        <v>0.659999999999999</v>
      </c>
      <c r="Y8" s="7">
        <v>0.694117647058823</v>
      </c>
      <c r="Z8" s="7">
        <v>0.91943128</v>
      </c>
      <c r="AA8" s="7">
        <v>0.5</v>
      </c>
      <c r="AB8" s="7">
        <v>0.633333333333333</v>
      </c>
      <c r="AC8" s="7">
        <v>260.0</v>
      </c>
      <c r="AD8" s="7">
        <v>448.0</v>
      </c>
      <c r="AE8" s="7">
        <v>1.72307692307692</v>
      </c>
      <c r="AF8" s="7">
        <v>0.53</v>
      </c>
      <c r="AG8" s="7">
        <v>0.13</v>
      </c>
      <c r="AH8" s="7">
        <v>139.898115510605</v>
      </c>
      <c r="AI8" s="7">
        <v>0.837837837837837</v>
      </c>
      <c r="AJ8" s="7">
        <v>0.936416184971098</v>
      </c>
      <c r="AK8" s="7">
        <v>0.75</v>
      </c>
      <c r="AL8" s="7">
        <v>0.46</v>
      </c>
      <c r="AM8" s="7">
        <v>0.7</v>
      </c>
      <c r="AN8" s="7">
        <v>0.572727272727272</v>
      </c>
      <c r="AO8" s="7">
        <v>131.0</v>
      </c>
      <c r="AP8" s="7">
        <v>131.0</v>
      </c>
      <c r="AQ8" s="7">
        <v>79.0</v>
      </c>
      <c r="AR8" s="7">
        <v>210.0</v>
      </c>
      <c r="AS8" s="7">
        <v>62.3809523809523</v>
      </c>
      <c r="AT8" s="7">
        <v>1.6030534351145</v>
      </c>
      <c r="AU8" s="7">
        <v>0.65</v>
      </c>
      <c r="AV8" s="7">
        <v>24.5</v>
      </c>
      <c r="AW8" s="7">
        <v>0.135</v>
      </c>
      <c r="AX8" s="7">
        <v>60.3053435114503</v>
      </c>
      <c r="AY8" s="7">
        <v>39.6946564885496</v>
      </c>
      <c r="AZ8" s="7">
        <v>12.0</v>
      </c>
      <c r="BA8" s="7">
        <v>6.58333333333333</v>
      </c>
      <c r="BB8" s="7">
        <v>91.5</v>
      </c>
      <c r="BC8" s="7">
        <v>21.8702777777777</v>
      </c>
      <c r="BD8" s="7">
        <v>0.54868987590972</v>
      </c>
      <c r="BE8" s="7">
        <v>143.565285775894</v>
      </c>
      <c r="BF8" s="7">
        <v>1.0</v>
      </c>
      <c r="BG8" s="7">
        <v>14.5568069483038</v>
      </c>
      <c r="BH8" s="7">
        <v>83.3333333333333</v>
      </c>
      <c r="BI8" s="7">
        <v>16.6666666666666</v>
      </c>
      <c r="BJ8" s="7">
        <v>24.0</v>
      </c>
      <c r="BK8" s="7">
        <v>4.0</v>
      </c>
      <c r="BL8" s="7">
        <v>5.0</v>
      </c>
      <c r="BM8" s="7">
        <v>73.75</v>
      </c>
      <c r="BN8" s="7">
        <v>0.18289662530324</v>
      </c>
      <c r="BO8" s="7">
        <v>68.5714285714285</v>
      </c>
      <c r="BP8" s="7">
        <v>55.1401869158878</v>
      </c>
      <c r="BQ8" s="7">
        <v>44.8598130841121</v>
      </c>
      <c r="BR8" s="7">
        <v>107.0</v>
      </c>
      <c r="BS8" s="7">
        <v>8.0</v>
      </c>
      <c r="BT8" s="7">
        <v>7.375</v>
      </c>
      <c r="BU8" s="7">
        <v>100.375</v>
      </c>
      <c r="BV8" s="7">
        <v>0.743859286618281</v>
      </c>
      <c r="BW8" s="7">
        <v>61.1428571428571</v>
      </c>
      <c r="BX8" s="7">
        <v>580.0</v>
      </c>
      <c r="BY8" s="7">
        <v>249.0</v>
      </c>
      <c r="BZ8" s="7">
        <v>829.0</v>
      </c>
      <c r="CA8" s="7">
        <v>69.9638118214716</v>
      </c>
      <c r="CB8" s="7">
        <v>7.3362831858407</v>
      </c>
      <c r="CC8" s="7">
        <v>4.0</v>
      </c>
      <c r="CD8" s="7">
        <v>19.0</v>
      </c>
      <c r="CE8" s="7">
        <v>58.9650674010726</v>
      </c>
      <c r="CF8" s="7">
        <v>21.5007403495283</v>
      </c>
      <c r="CG8" s="7">
        <v>4.61371493561251</v>
      </c>
      <c r="CH8" s="7">
        <v>1.89070477208739</v>
      </c>
      <c r="CI8" s="7">
        <v>5.07605940938007</v>
      </c>
      <c r="CJ8" s="7">
        <v>2.06790528115048</v>
      </c>
    </row>
    <row r="9">
      <c r="A9" s="7">
        <v>8.0</v>
      </c>
      <c r="B9" s="8">
        <v>0.5700000000000003</v>
      </c>
      <c r="C9" s="37">
        <v>3.0</v>
      </c>
      <c r="D9" s="37">
        <v>0.0</v>
      </c>
      <c r="E9" s="38">
        <f t="shared" si="1"/>
        <v>1</v>
      </c>
      <c r="F9" s="7">
        <v>0.0</v>
      </c>
      <c r="G9" s="7">
        <v>1.0</v>
      </c>
      <c r="H9" s="38">
        <v>-1.0</v>
      </c>
      <c r="I9" s="39">
        <v>1.4016666666666664</v>
      </c>
      <c r="J9" s="8">
        <v>0.3100000000000023</v>
      </c>
      <c r="K9" s="7">
        <v>0.779456193353474</v>
      </c>
      <c r="L9" s="7">
        <v>0.423076923076923</v>
      </c>
      <c r="M9" s="7">
        <v>0.868421052631578</v>
      </c>
      <c r="N9" s="7">
        <v>390.0</v>
      </c>
      <c r="O9" s="7">
        <v>634.0</v>
      </c>
      <c r="P9" s="7">
        <v>1.62564102564102</v>
      </c>
      <c r="Q9" s="7">
        <v>1.19</v>
      </c>
      <c r="R9" s="7">
        <v>0.14</v>
      </c>
      <c r="S9" s="7">
        <v>133.183665080393</v>
      </c>
      <c r="T9" s="7">
        <v>0.652173913043478</v>
      </c>
      <c r="U9" s="7">
        <v>0.788961039</v>
      </c>
      <c r="V9" s="7">
        <v>0.5</v>
      </c>
      <c r="W9" s="7">
        <v>0.416666666666666</v>
      </c>
      <c r="Y9" s="7">
        <v>0.852631578947368</v>
      </c>
      <c r="Z9" s="7">
        <v>0.795918367346938</v>
      </c>
      <c r="AA9" s="7">
        <v>0.48</v>
      </c>
      <c r="AB9" s="7">
        <v>0.525</v>
      </c>
      <c r="AC9" s="7">
        <v>250.0</v>
      </c>
      <c r="AD9" s="7">
        <v>471.0</v>
      </c>
      <c r="AE9" s="7">
        <v>1.884</v>
      </c>
      <c r="AF9" s="7">
        <v>0.71</v>
      </c>
      <c r="AG9" s="7">
        <v>0.12</v>
      </c>
      <c r="AH9" s="7">
        <v>131.3916566</v>
      </c>
      <c r="AI9" s="7">
        <v>0.909090909090909</v>
      </c>
      <c r="AJ9" s="7">
        <v>0.763157894736842</v>
      </c>
      <c r="AK9" s="7">
        <v>0.333333333333333</v>
      </c>
      <c r="AL9" s="7">
        <v>0.526315789473684</v>
      </c>
      <c r="AM9" s="7">
        <v>0.4</v>
      </c>
      <c r="AN9" s="7">
        <v>0.51</v>
      </c>
      <c r="AO9" s="7">
        <v>166.0</v>
      </c>
      <c r="AP9" s="7">
        <v>166.0</v>
      </c>
      <c r="AQ9" s="7">
        <v>46.0</v>
      </c>
      <c r="AR9" s="7">
        <v>212.0</v>
      </c>
      <c r="AS9" s="7">
        <v>78.3018867924528</v>
      </c>
      <c r="AT9" s="7">
        <v>1.27710843373493</v>
      </c>
      <c r="AU9" s="7">
        <v>0.77</v>
      </c>
      <c r="AV9" s="7">
        <v>23.0</v>
      </c>
      <c r="AW9" s="7">
        <v>0.14</v>
      </c>
      <c r="AX9" s="7">
        <v>66.2650602409638</v>
      </c>
      <c r="AY9" s="7">
        <v>33.7349397590361</v>
      </c>
      <c r="AZ9" s="7">
        <v>23.0</v>
      </c>
      <c r="BA9" s="7">
        <v>4.78260869565217</v>
      </c>
      <c r="BB9" s="7">
        <v>61.0869565217391</v>
      </c>
      <c r="BC9" s="7">
        <v>22.4163888888888</v>
      </c>
      <c r="BD9" s="7">
        <v>1.0260350190213</v>
      </c>
      <c r="BE9" s="7">
        <v>177.548898242139</v>
      </c>
      <c r="BF9" s="7">
        <v>1.0</v>
      </c>
      <c r="BG9" s="7">
        <v>12.7897226919204</v>
      </c>
      <c r="BH9" s="7">
        <v>71.79487179</v>
      </c>
      <c r="BI9" s="7">
        <v>28.2051282051282</v>
      </c>
      <c r="BJ9" s="7">
        <v>39.0</v>
      </c>
      <c r="BK9" s="7">
        <v>4.0</v>
      </c>
      <c r="BL9" s="7">
        <v>7.0</v>
      </c>
      <c r="BM9" s="7">
        <v>110.5</v>
      </c>
      <c r="BN9" s="7">
        <v>0.178440872873269</v>
      </c>
      <c r="BO9" s="7">
        <v>92.8571428571428</v>
      </c>
      <c r="BP9" s="7">
        <v>64.5669291338582</v>
      </c>
      <c r="BQ9" s="7">
        <v>35.4330708661417</v>
      </c>
      <c r="BR9" s="7">
        <v>127.0</v>
      </c>
      <c r="BS9" s="7">
        <v>19.0</v>
      </c>
      <c r="BT9" s="7">
        <v>4.31578947368421</v>
      </c>
      <c r="BU9" s="7">
        <v>50.6842105263157</v>
      </c>
      <c r="BV9" s="7">
        <v>1.67278063096111</v>
      </c>
      <c r="BW9" s="7">
        <v>74.7058823529411</v>
      </c>
      <c r="BX9" s="7">
        <v>839.0</v>
      </c>
      <c r="BY9" s="7">
        <v>154.0</v>
      </c>
      <c r="BZ9" s="7">
        <v>993.0</v>
      </c>
      <c r="CA9" s="7">
        <v>84.4914400805639</v>
      </c>
      <c r="CB9" s="7">
        <v>8.5603448275862</v>
      </c>
      <c r="CC9" s="7">
        <v>5.5</v>
      </c>
      <c r="CD9" s="7">
        <v>16.0</v>
      </c>
      <c r="CE9" s="7">
        <v>61.18756029</v>
      </c>
      <c r="CF9" s="7">
        <v>17.5522079976055</v>
      </c>
      <c r="CG9" s="7">
        <v>5.03354662578541</v>
      </c>
      <c r="CH9" s="7">
        <v>1.77471147938193</v>
      </c>
      <c r="CI9" s="7">
        <v>5.273082191</v>
      </c>
      <c r="CJ9" s="7">
        <v>1.83663563927685</v>
      </c>
    </row>
    <row r="10">
      <c r="A10" s="7">
        <v>9.0</v>
      </c>
      <c r="B10" s="8">
        <v>0.4799999999999969</v>
      </c>
      <c r="C10" s="37">
        <v>5.0</v>
      </c>
      <c r="D10" s="37">
        <v>5.0</v>
      </c>
      <c r="E10" s="38">
        <f t="shared" si="1"/>
        <v>0</v>
      </c>
      <c r="F10" s="7">
        <v>3.0</v>
      </c>
      <c r="G10" s="7">
        <v>4.0</v>
      </c>
      <c r="H10" s="38">
        <v>-0.14285714285714285</v>
      </c>
      <c r="I10" s="39">
        <v>1.695</v>
      </c>
      <c r="J10" s="8">
        <v>0.14999999999999147</v>
      </c>
      <c r="K10" s="7">
        <v>0.763848396501457</v>
      </c>
      <c r="L10" s="7">
        <v>0.452830188679245</v>
      </c>
      <c r="M10" s="7">
        <v>0.76</v>
      </c>
      <c r="N10" s="7">
        <v>418.0</v>
      </c>
      <c r="O10" s="7">
        <v>691.0</v>
      </c>
      <c r="P10" s="7">
        <v>1.65311004784688</v>
      </c>
      <c r="Q10" s="7">
        <v>1.07</v>
      </c>
      <c r="R10" s="7">
        <v>0.12</v>
      </c>
      <c r="S10" s="7">
        <v>145.099819605542</v>
      </c>
      <c r="T10" s="7">
        <v>0.75</v>
      </c>
      <c r="U10" s="7">
        <v>0.765472312703583</v>
      </c>
      <c r="V10" s="7">
        <v>0.444444444444444</v>
      </c>
      <c r="W10" s="7">
        <v>0.454545454545454</v>
      </c>
      <c r="X10" s="7">
        <v>0.7</v>
      </c>
      <c r="Y10" s="7">
        <v>0.747368421052631</v>
      </c>
      <c r="Z10" s="7">
        <v>0.877777777777777</v>
      </c>
      <c r="AA10" s="7">
        <v>0.51063829787234</v>
      </c>
      <c r="AB10" s="7">
        <v>0.727272727272727</v>
      </c>
      <c r="AC10" s="7">
        <v>232.0</v>
      </c>
      <c r="AD10" s="7">
        <v>424.0</v>
      </c>
      <c r="AE10" s="7">
        <v>1.82758620689655</v>
      </c>
      <c r="AF10" s="7">
        <v>0.47</v>
      </c>
      <c r="AG10" s="7">
        <v>0.15</v>
      </c>
      <c r="AH10" s="7">
        <v>124.38029805007</v>
      </c>
      <c r="AI10" s="7">
        <v>0.861111111111111</v>
      </c>
      <c r="AJ10" s="7">
        <v>0.881944444444444</v>
      </c>
      <c r="AK10" s="7">
        <v>0.6</v>
      </c>
      <c r="AL10" s="7">
        <v>0.486486486486486</v>
      </c>
      <c r="AM10" s="7">
        <v>0.733333333333333</v>
      </c>
      <c r="AN10" s="7">
        <v>0.7</v>
      </c>
      <c r="AO10" s="7">
        <v>159.0</v>
      </c>
      <c r="AP10" s="7">
        <v>159.0</v>
      </c>
      <c r="AQ10" s="7">
        <v>57.0</v>
      </c>
      <c r="AR10" s="7">
        <v>216.0</v>
      </c>
      <c r="AS10" s="7">
        <v>73.6111111111111</v>
      </c>
      <c r="AT10" s="7">
        <v>1.35849056603773</v>
      </c>
      <c r="AU10" s="7">
        <v>0.47</v>
      </c>
      <c r="AV10" s="7">
        <v>39.5</v>
      </c>
      <c r="AW10" s="7">
        <v>0.08</v>
      </c>
      <c r="AX10" s="7">
        <v>61.00628931</v>
      </c>
      <c r="AY10" s="7">
        <v>38.99371069</v>
      </c>
      <c r="AZ10" s="7">
        <v>21.0</v>
      </c>
      <c r="BA10" s="7">
        <v>4.61904761904761</v>
      </c>
      <c r="BB10" s="7">
        <v>63.9523809523809</v>
      </c>
      <c r="BC10" s="7">
        <v>17.1261111111111</v>
      </c>
      <c r="BD10" s="7">
        <v>1.22619781360495</v>
      </c>
      <c r="BE10" s="7">
        <v>182.671134514121</v>
      </c>
      <c r="BF10" s="7">
        <v>0.0</v>
      </c>
      <c r="BG10" s="7">
        <v>14.2551875819294</v>
      </c>
      <c r="BH10" s="7">
        <v>23.076923076923</v>
      </c>
      <c r="BI10" s="7">
        <v>76.9230769230769</v>
      </c>
      <c r="BJ10" s="7">
        <v>13.0</v>
      </c>
      <c r="BK10" s="7">
        <v>1.0</v>
      </c>
      <c r="BL10" s="7">
        <v>3.0</v>
      </c>
      <c r="BM10" s="7">
        <v>44.0</v>
      </c>
      <c r="BN10" s="7">
        <v>0.058390372</v>
      </c>
      <c r="BO10" s="7">
        <v>36.1111111111111</v>
      </c>
      <c r="BP10" s="7">
        <v>64.3835616438356</v>
      </c>
      <c r="BQ10" s="7">
        <v>35.6164383561643</v>
      </c>
      <c r="BR10" s="7">
        <v>146.0</v>
      </c>
      <c r="BS10" s="7">
        <v>20.0</v>
      </c>
      <c r="BT10" s="7">
        <v>4.7</v>
      </c>
      <c r="BU10" s="7">
        <v>64.95</v>
      </c>
      <c r="BV10" s="7">
        <v>1.8294542128265</v>
      </c>
      <c r="BW10" s="7">
        <v>81.1111111111111</v>
      </c>
      <c r="BX10" s="7">
        <v>359.0</v>
      </c>
      <c r="BY10" s="7">
        <v>187.0</v>
      </c>
      <c r="BZ10" s="7">
        <v>546.0</v>
      </c>
      <c r="CA10" s="7">
        <v>65.7509157509157</v>
      </c>
      <c r="CB10" s="7">
        <v>5.87096774193548</v>
      </c>
      <c r="CC10" s="7">
        <v>3.0</v>
      </c>
      <c r="CD10" s="7">
        <v>22.0</v>
      </c>
      <c r="CE10" s="7">
        <v>48.9894463446308</v>
      </c>
      <c r="CF10" s="7">
        <v>24.3021579961776</v>
      </c>
      <c r="CG10" s="7">
        <v>3.61098271389782</v>
      </c>
      <c r="CH10" s="7">
        <v>2.53870748540444</v>
      </c>
      <c r="CI10" s="7">
        <v>3.81958502310524</v>
      </c>
      <c r="CJ10" s="7">
        <v>2.708362191</v>
      </c>
    </row>
    <row r="11">
      <c r="A11" s="7">
        <v>10.0</v>
      </c>
      <c r="B11" s="8">
        <v>0.23000000000000043</v>
      </c>
      <c r="C11" s="37">
        <v>15.0</v>
      </c>
      <c r="D11" s="37">
        <v>0.0</v>
      </c>
      <c r="E11" s="38">
        <f t="shared" si="1"/>
        <v>1</v>
      </c>
      <c r="F11" s="7">
        <v>4.0</v>
      </c>
      <c r="G11" s="7">
        <v>0.0</v>
      </c>
      <c r="H11" s="38">
        <v>1.0</v>
      </c>
      <c r="I11" s="39">
        <v>0.9058333333333334</v>
      </c>
      <c r="J11" s="8">
        <v>0.12999999999999545</v>
      </c>
      <c r="K11" s="7">
        <v>0.741935483870967</v>
      </c>
      <c r="L11" s="7">
        <v>0.508196721311475</v>
      </c>
      <c r="M11" s="7">
        <v>0.69047619047619</v>
      </c>
      <c r="N11" s="7">
        <v>435.0</v>
      </c>
      <c r="O11" s="7">
        <v>738.0</v>
      </c>
      <c r="P11" s="7">
        <v>1.69655172413793</v>
      </c>
      <c r="Q11" s="7">
        <v>1.25</v>
      </c>
      <c r="R11" s="7">
        <v>0.13</v>
      </c>
      <c r="S11" s="7">
        <v>152.108982297661</v>
      </c>
      <c r="T11" s="7">
        <v>0.615384615384615</v>
      </c>
      <c r="U11" s="7">
        <v>0.760147601476014</v>
      </c>
      <c r="V11" s="7">
        <v>0.25</v>
      </c>
      <c r="W11" s="7">
        <v>0.547169811320754</v>
      </c>
      <c r="X11" s="7">
        <v>0.5</v>
      </c>
      <c r="Y11" s="7">
        <v>0.705</v>
      </c>
      <c r="Z11" s="7">
        <v>0.875675675675675</v>
      </c>
      <c r="AA11" s="7">
        <v>0.428571428571428</v>
      </c>
      <c r="AB11" s="7">
        <v>0.681818181818181</v>
      </c>
      <c r="AC11" s="7">
        <v>236.0</v>
      </c>
      <c r="AD11" s="7">
        <v>430.0</v>
      </c>
      <c r="AE11" s="7">
        <v>1.82203389830508</v>
      </c>
      <c r="AF11" s="7">
        <v>0.47</v>
      </c>
      <c r="AG11" s="7">
        <v>0.11</v>
      </c>
      <c r="AH11" s="7">
        <v>124.486594929782</v>
      </c>
      <c r="AI11" s="7">
        <v>0.897435897435897</v>
      </c>
      <c r="AJ11" s="7">
        <v>0.86986301369863</v>
      </c>
      <c r="AK11" s="7">
        <v>0.25</v>
      </c>
      <c r="AL11" s="7">
        <v>0.458333333333333</v>
      </c>
      <c r="AM11" s="7">
        <v>0.7</v>
      </c>
      <c r="AN11" s="7">
        <v>0.645454545454545</v>
      </c>
      <c r="AO11" s="7">
        <v>150.0</v>
      </c>
      <c r="AP11" s="7">
        <v>150.0</v>
      </c>
      <c r="AQ11" s="7">
        <v>108.0</v>
      </c>
      <c r="AR11" s="7">
        <v>258.0</v>
      </c>
      <c r="AS11" s="7">
        <v>58.1395348837209</v>
      </c>
      <c r="AT11" s="7">
        <v>1.72</v>
      </c>
      <c r="AU11" s="7">
        <v>0.71</v>
      </c>
      <c r="AV11" s="7">
        <v>20.0</v>
      </c>
      <c r="AW11" s="7">
        <v>0.14</v>
      </c>
      <c r="AX11" s="7">
        <v>60.6666666666666</v>
      </c>
      <c r="AY11" s="7">
        <v>39.3333333333333</v>
      </c>
      <c r="AZ11" s="7">
        <v>14.0</v>
      </c>
      <c r="BA11" s="7">
        <v>6.5</v>
      </c>
      <c r="BB11" s="7">
        <v>79.4285714285714</v>
      </c>
      <c r="BC11" s="7">
        <v>21.9838888888888</v>
      </c>
      <c r="BD11" s="7">
        <v>0.636830001768972</v>
      </c>
      <c r="BE11" s="7">
        <v>163.39910483515</v>
      </c>
      <c r="BF11" s="7">
        <v>1.0</v>
      </c>
      <c r="BG11" s="7">
        <v>10.4385010926991</v>
      </c>
      <c r="BH11" s="7">
        <v>84.6153846153846</v>
      </c>
      <c r="BI11" s="7">
        <v>15.3846153846153</v>
      </c>
      <c r="BJ11" s="7">
        <v>39.0</v>
      </c>
      <c r="BK11" s="7">
        <v>6.0</v>
      </c>
      <c r="BL11" s="7">
        <v>5.5</v>
      </c>
      <c r="BM11" s="7">
        <v>66.0</v>
      </c>
      <c r="BN11" s="7">
        <v>0.272927143615273</v>
      </c>
      <c r="BO11" s="7">
        <v>76.4705882352941</v>
      </c>
      <c r="BP11" s="7">
        <v>52.2522522522522</v>
      </c>
      <c r="BQ11" s="7">
        <v>47.7477477477477</v>
      </c>
      <c r="BR11" s="7">
        <v>111.0</v>
      </c>
      <c r="BS11" s="7">
        <v>8.0</v>
      </c>
      <c r="BT11" s="7">
        <v>7.25</v>
      </c>
      <c r="BU11" s="7">
        <v>89.5</v>
      </c>
      <c r="BV11" s="7">
        <v>0.725605300949837</v>
      </c>
      <c r="BW11" s="7">
        <v>53.6231884057971</v>
      </c>
      <c r="BX11" s="7">
        <v>1016.0</v>
      </c>
      <c r="BY11" s="7">
        <v>334.0</v>
      </c>
      <c r="BZ11" s="7">
        <v>1350.0</v>
      </c>
      <c r="CA11" s="7">
        <v>75.2592592592592</v>
      </c>
      <c r="CB11" s="7">
        <v>9.375</v>
      </c>
      <c r="CC11" s="7">
        <v>6.0</v>
      </c>
      <c r="CD11" s="7">
        <v>17.0</v>
      </c>
      <c r="CE11" s="7">
        <v>76.0437867869519</v>
      </c>
      <c r="CF11" s="7">
        <v>18.6418463773844</v>
      </c>
      <c r="CG11" s="7">
        <v>6.54909258290194</v>
      </c>
      <c r="CH11" s="7">
        <v>2.35839967257832</v>
      </c>
      <c r="CI11" s="7">
        <v>6.80135972390348</v>
      </c>
      <c r="CJ11" s="7">
        <v>2.45591319857766</v>
      </c>
    </row>
    <row r="12">
      <c r="A12" s="7">
        <v>11.0</v>
      </c>
      <c r="B12" s="8">
        <v>0.1599999999999966</v>
      </c>
      <c r="C12" s="37">
        <v>13.0</v>
      </c>
      <c r="D12" s="37">
        <v>0.0</v>
      </c>
      <c r="E12" s="38">
        <f t="shared" si="1"/>
        <v>1</v>
      </c>
      <c r="F12" s="7">
        <v>1.0</v>
      </c>
      <c r="G12" s="7">
        <v>9.0</v>
      </c>
      <c r="H12" s="38">
        <v>-0.8</v>
      </c>
      <c r="I12" s="39">
        <v>0.9833333333333328</v>
      </c>
      <c r="J12" s="8">
        <v>0.9100000000000108</v>
      </c>
      <c r="K12" s="7">
        <v>0.736196319018404</v>
      </c>
      <c r="L12" s="7">
        <v>0.491803278688524</v>
      </c>
      <c r="M12" s="7">
        <v>0.723809523809523</v>
      </c>
      <c r="N12" s="7">
        <v>423.0</v>
      </c>
      <c r="O12" s="7">
        <v>711.0</v>
      </c>
      <c r="P12" s="7">
        <v>1.68085106382978</v>
      </c>
      <c r="Q12" s="7">
        <v>0.95</v>
      </c>
      <c r="R12" s="7">
        <v>0.13</v>
      </c>
      <c r="S12" s="7">
        <v>145.180665459052</v>
      </c>
      <c r="T12" s="7">
        <v>0.791666666666666</v>
      </c>
      <c r="U12" s="7">
        <v>0.719367588932806</v>
      </c>
      <c r="V12" s="7">
        <v>0.5</v>
      </c>
      <c r="W12" s="7">
        <v>0.489795918367346</v>
      </c>
      <c r="X12" s="7">
        <v>0.783333333333333</v>
      </c>
      <c r="Y12" s="7">
        <v>0.6875</v>
      </c>
      <c r="Z12" s="7">
        <v>0.804511278195488</v>
      </c>
      <c r="AA12" s="7">
        <v>0.56</v>
      </c>
      <c r="AB12" s="7">
        <v>0.7125</v>
      </c>
      <c r="AC12" s="7">
        <v>168.0</v>
      </c>
      <c r="AD12" s="7">
        <v>315.0</v>
      </c>
      <c r="AE12" s="7">
        <v>1.875</v>
      </c>
      <c r="AF12" s="7">
        <v>0.47</v>
      </c>
      <c r="AG12" s="7">
        <v>0.12</v>
      </c>
      <c r="AH12" s="7">
        <v>94.1747071874516</v>
      </c>
      <c r="AI12" s="7">
        <v>0.9</v>
      </c>
      <c r="AJ12" s="7">
        <v>0.776699029126213</v>
      </c>
      <c r="AK12" s="7">
        <v>0.4</v>
      </c>
      <c r="AL12" s="7">
        <v>0.6</v>
      </c>
      <c r="AM12" s="7">
        <v>0.725</v>
      </c>
      <c r="AN12" s="7">
        <v>0.7</v>
      </c>
      <c r="AO12" s="7">
        <v>148.0</v>
      </c>
      <c r="AP12" s="7">
        <v>148.0</v>
      </c>
      <c r="AQ12" s="7">
        <v>85.0</v>
      </c>
      <c r="AR12" s="7">
        <v>233.0</v>
      </c>
      <c r="AS12" s="7">
        <v>63.519313304721</v>
      </c>
      <c r="AT12" s="7">
        <v>1.57432432432432</v>
      </c>
      <c r="AU12" s="7">
        <v>0.53</v>
      </c>
      <c r="AV12" s="7">
        <v>31.0</v>
      </c>
      <c r="AW12" s="7">
        <v>0.12</v>
      </c>
      <c r="AX12" s="7">
        <v>73.6486486486486</v>
      </c>
      <c r="AY12" s="7">
        <v>26.3513513513513</v>
      </c>
      <c r="AZ12" s="7">
        <v>23.0</v>
      </c>
      <c r="BA12" s="7">
        <v>4.7391304347826</v>
      </c>
      <c r="BB12" s="7">
        <v>79.5652173913043</v>
      </c>
      <c r="BC12" s="7">
        <v>22.7469444444444</v>
      </c>
      <c r="BD12" s="7">
        <v>1.01112481529875</v>
      </c>
      <c r="BE12" s="7">
        <v>156.067078380159</v>
      </c>
      <c r="BF12" s="7">
        <v>1.0</v>
      </c>
      <c r="BG12" s="7">
        <v>15.21555488</v>
      </c>
      <c r="BH12" s="7">
        <v>58.82352941</v>
      </c>
      <c r="BI12" s="7">
        <v>41.17647059</v>
      </c>
      <c r="BJ12" s="7">
        <v>34.0</v>
      </c>
      <c r="BK12" s="7">
        <v>4.0</v>
      </c>
      <c r="BL12" s="7">
        <v>5.0</v>
      </c>
      <c r="BM12" s="7">
        <v>73.0</v>
      </c>
      <c r="BN12" s="7">
        <v>0.175847793965001</v>
      </c>
      <c r="BO12" s="7">
        <v>50.7462686567164</v>
      </c>
      <c r="BP12" s="7">
        <v>78.07017544</v>
      </c>
      <c r="BQ12" s="7">
        <v>21.9298245614035</v>
      </c>
      <c r="BR12" s="7">
        <v>114.0</v>
      </c>
      <c r="BS12" s="7">
        <v>19.0</v>
      </c>
      <c r="BT12" s="7">
        <v>4.68421052631578</v>
      </c>
      <c r="BU12" s="7">
        <v>80.9473684210526</v>
      </c>
      <c r="BV12" s="7">
        <v>1.65858389912706</v>
      </c>
      <c r="BW12" s="7">
        <v>68.6746987951807</v>
      </c>
      <c r="BX12" s="7">
        <v>807.0</v>
      </c>
      <c r="BY12" s="7">
        <v>203.0</v>
      </c>
      <c r="BZ12" s="7">
        <v>1010.0</v>
      </c>
      <c r="CA12" s="7">
        <v>79.9009901</v>
      </c>
      <c r="CB12" s="7">
        <v>7.59398496240601</v>
      </c>
      <c r="CC12" s="7">
        <v>5.0</v>
      </c>
      <c r="CD12" s="7">
        <v>20.0</v>
      </c>
      <c r="CE12" s="7">
        <v>69.3469156216431</v>
      </c>
      <c r="CF12" s="7">
        <v>21.7524225518705</v>
      </c>
      <c r="CG12" s="7">
        <v>5.25895895</v>
      </c>
      <c r="CH12" s="7">
        <v>2.6603721842259</v>
      </c>
      <c r="CI12" s="7">
        <v>5.44225010275766</v>
      </c>
      <c r="CJ12" s="7">
        <v>2.76911837143146</v>
      </c>
    </row>
    <row r="13">
      <c r="A13" s="7">
        <v>12.0</v>
      </c>
      <c r="B13" s="8">
        <v>1.0999999999999979</v>
      </c>
      <c r="C13" s="37">
        <v>2.0</v>
      </c>
      <c r="D13" s="37">
        <v>3.0</v>
      </c>
      <c r="E13" s="38">
        <f t="shared" si="1"/>
        <v>-0.2</v>
      </c>
      <c r="F13" s="7">
        <v>4.0</v>
      </c>
      <c r="G13" s="7">
        <v>1.0</v>
      </c>
      <c r="H13" s="38">
        <v>0.6</v>
      </c>
      <c r="I13" s="39">
        <v>1.1124999999999987</v>
      </c>
      <c r="J13" s="8">
        <v>0.22999999999998977</v>
      </c>
      <c r="K13" s="7">
        <v>0.737931034482758</v>
      </c>
      <c r="L13" s="7">
        <v>0.586206896551724</v>
      </c>
      <c r="M13" s="7">
        <v>0.794444444444444</v>
      </c>
      <c r="N13" s="7">
        <v>371.0</v>
      </c>
      <c r="O13" s="7">
        <v>629.0</v>
      </c>
      <c r="P13" s="7">
        <v>1.69541778975741</v>
      </c>
      <c r="Q13" s="7">
        <v>1.43</v>
      </c>
      <c r="R13" s="7">
        <v>0.13</v>
      </c>
      <c r="S13" s="7">
        <v>129.139657152065</v>
      </c>
      <c r="T13" s="7">
        <v>0.702702702702702</v>
      </c>
      <c r="U13" s="7">
        <v>0.746543778801843</v>
      </c>
      <c r="V13" s="7">
        <v>0.461538461538461</v>
      </c>
      <c r="W13" s="7">
        <v>0.622222222222222</v>
      </c>
      <c r="X13" s="7">
        <v>0.575</v>
      </c>
      <c r="Y13" s="7">
        <v>0.78</v>
      </c>
      <c r="Z13" s="7">
        <v>0.893280632411067</v>
      </c>
      <c r="AA13" s="7">
        <v>0.465116279069767</v>
      </c>
      <c r="AB13" s="7">
        <v>0.692857142857142</v>
      </c>
      <c r="AC13" s="7">
        <v>303.0</v>
      </c>
      <c r="AD13" s="7">
        <v>567.0</v>
      </c>
      <c r="AE13" s="7">
        <v>1.87128712871287</v>
      </c>
      <c r="AF13" s="7">
        <v>0.53</v>
      </c>
      <c r="AG13" s="7">
        <v>0.14</v>
      </c>
      <c r="AH13" s="7">
        <v>160.750601758608</v>
      </c>
      <c r="AI13" s="7">
        <v>0.933333333333333</v>
      </c>
      <c r="AJ13" s="7">
        <v>0.884615384615384</v>
      </c>
      <c r="AK13" s="7">
        <v>0.5</v>
      </c>
      <c r="AL13" s="7">
        <v>0.451612903225806</v>
      </c>
      <c r="AM13" s="7">
        <v>0.75</v>
      </c>
      <c r="AN13" s="7">
        <v>0.65</v>
      </c>
      <c r="AO13" s="7">
        <v>174.0</v>
      </c>
      <c r="AP13" s="7">
        <v>174.0</v>
      </c>
      <c r="AQ13" s="7">
        <v>98.0</v>
      </c>
      <c r="AR13" s="7">
        <v>272.0</v>
      </c>
      <c r="AS13" s="7">
        <v>63.9705882352941</v>
      </c>
      <c r="AT13" s="7">
        <v>1.56321839080459</v>
      </c>
      <c r="AU13" s="7">
        <v>0.59</v>
      </c>
      <c r="AV13" s="7">
        <v>24.0</v>
      </c>
      <c r="AW13" s="7">
        <v>0.105</v>
      </c>
      <c r="AX13" s="7">
        <v>67.81609195</v>
      </c>
      <c r="AY13" s="7">
        <v>32.183908045977</v>
      </c>
      <c r="AZ13" s="7">
        <v>16.0</v>
      </c>
      <c r="BA13" s="7">
        <v>7.375</v>
      </c>
      <c r="BB13" s="7">
        <v>132.25</v>
      </c>
      <c r="BC13" s="7">
        <v>22.4338888888888</v>
      </c>
      <c r="BD13" s="7">
        <v>0.713206706124167</v>
      </c>
      <c r="BE13" s="7">
        <v>185.944341372912</v>
      </c>
      <c r="BF13" s="7">
        <v>1.0</v>
      </c>
      <c r="BG13" s="7">
        <v>18.3847738379117</v>
      </c>
      <c r="BH13" s="7">
        <v>72.0</v>
      </c>
      <c r="BI13" s="7">
        <v>28.0</v>
      </c>
      <c r="BJ13" s="7">
        <v>25.0</v>
      </c>
      <c r="BK13" s="7">
        <v>3.0</v>
      </c>
      <c r="BL13" s="7">
        <v>6.0</v>
      </c>
      <c r="BM13" s="7">
        <v>116.666666666666</v>
      </c>
      <c r="BN13" s="7">
        <v>0.133726257398281</v>
      </c>
      <c r="BO13" s="7">
        <v>86.2068965517241</v>
      </c>
      <c r="BP13" s="7">
        <v>67.1140939597315</v>
      </c>
      <c r="BQ13" s="7">
        <v>32.8859060402684</v>
      </c>
      <c r="BR13" s="7">
        <v>149.0</v>
      </c>
      <c r="BS13" s="7">
        <v>13.0</v>
      </c>
      <c r="BT13" s="7">
        <v>7.69230769230769</v>
      </c>
      <c r="BU13" s="7">
        <v>135.846153846153</v>
      </c>
      <c r="BV13" s="7">
        <v>1.16397642201606</v>
      </c>
      <c r="BW13" s="7">
        <v>61.3168724279835</v>
      </c>
      <c r="BX13" s="7">
        <v>2040.0</v>
      </c>
      <c r="BY13" s="7">
        <v>573.0</v>
      </c>
      <c r="BZ13" s="7">
        <v>2613.0</v>
      </c>
      <c r="CA13" s="7">
        <v>78.07118255</v>
      </c>
      <c r="CB13" s="7">
        <v>13.9732620320855</v>
      </c>
      <c r="CC13" s="7">
        <v>7.0</v>
      </c>
      <c r="CD13" s="7">
        <v>15.0</v>
      </c>
      <c r="CE13" s="7">
        <v>98.07930457</v>
      </c>
      <c r="CF13" s="7">
        <v>17.0273916509832</v>
      </c>
      <c r="CG13" s="7">
        <v>8.212965856</v>
      </c>
      <c r="CH13" s="7">
        <v>1.8304471767783</v>
      </c>
      <c r="CI13" s="7">
        <v>8.91187533042412</v>
      </c>
      <c r="CJ13" s="7">
        <v>1.94777299715446</v>
      </c>
    </row>
    <row r="14">
      <c r="A14" s="7">
        <v>13.0</v>
      </c>
      <c r="B14" s="8">
        <v>-0.28000000000000114</v>
      </c>
      <c r="C14" s="37">
        <v>9.0</v>
      </c>
      <c r="D14" s="37">
        <v>0.0</v>
      </c>
      <c r="E14" s="38">
        <f t="shared" si="1"/>
        <v>1</v>
      </c>
      <c r="F14" s="7">
        <v>5.0</v>
      </c>
      <c r="G14" s="7">
        <v>4.0</v>
      </c>
      <c r="H14" s="38">
        <v>0.1111111111111111</v>
      </c>
      <c r="I14" s="39">
        <v>0.9883333333333332</v>
      </c>
      <c r="J14" s="8">
        <v>0.6299999999999955</v>
      </c>
      <c r="Z14" s="7">
        <v>0.839195979899497</v>
      </c>
      <c r="AA14" s="7">
        <v>0.48</v>
      </c>
      <c r="AB14" s="7">
        <v>0.683333333333333</v>
      </c>
      <c r="AC14" s="7">
        <v>258.0</v>
      </c>
      <c r="AD14" s="7">
        <v>497.0</v>
      </c>
      <c r="AE14" s="7">
        <v>1.92635658914728</v>
      </c>
      <c r="AF14" s="7">
        <v>0.83</v>
      </c>
      <c r="AG14" s="7">
        <v>0.13</v>
      </c>
      <c r="AH14" s="7">
        <v>136.161063330727</v>
      </c>
      <c r="AI14" s="7">
        <v>0.852941176470588</v>
      </c>
      <c r="AJ14" s="7">
        <v>0.836363636363636</v>
      </c>
      <c r="AK14" s="7">
        <v>0.333333333333333</v>
      </c>
      <c r="AL14" s="7">
        <v>0.526315789473684</v>
      </c>
      <c r="AM14" s="7">
        <v>0.25</v>
      </c>
      <c r="AN14" s="7">
        <v>0.690909091</v>
      </c>
      <c r="AO14" s="7">
        <v>161.0</v>
      </c>
      <c r="AP14" s="7">
        <v>161.0</v>
      </c>
      <c r="AQ14" s="7">
        <v>119.0</v>
      </c>
      <c r="AR14" s="7">
        <v>280.0</v>
      </c>
      <c r="AS14" s="7">
        <v>57.4999999999999</v>
      </c>
      <c r="AT14" s="7">
        <v>1.7391304347826</v>
      </c>
      <c r="AU14" s="7">
        <v>0.59</v>
      </c>
      <c r="AV14" s="7">
        <v>26.5</v>
      </c>
      <c r="AW14" s="7">
        <v>0.11</v>
      </c>
      <c r="AX14" s="7">
        <v>68.3229813664596</v>
      </c>
      <c r="AY14" s="7">
        <v>31.6770186335403</v>
      </c>
      <c r="AZ14" s="7">
        <v>16.0</v>
      </c>
      <c r="BA14" s="7">
        <v>6.875</v>
      </c>
      <c r="BB14" s="7">
        <v>111.875</v>
      </c>
      <c r="BC14" s="7">
        <v>20.8958333333333</v>
      </c>
      <c r="BD14" s="7">
        <v>0.765702891</v>
      </c>
      <c r="BE14" s="7">
        <v>184.436695350101</v>
      </c>
      <c r="BF14" s="7">
        <v>10.0</v>
      </c>
      <c r="BG14" s="7">
        <v>20.5618395729524</v>
      </c>
      <c r="BH14" s="7">
        <v>70.2702702702702</v>
      </c>
      <c r="BI14" s="7">
        <v>29.7297297297297</v>
      </c>
      <c r="BJ14" s="7">
        <v>37.0</v>
      </c>
      <c r="BK14" s="7">
        <v>4.0</v>
      </c>
      <c r="BL14" s="7">
        <v>6.5</v>
      </c>
      <c r="BM14" s="7">
        <v>129.25</v>
      </c>
      <c r="BN14" s="7">
        <v>0.191425722831505</v>
      </c>
      <c r="BO14" s="7">
        <v>82.60869565</v>
      </c>
      <c r="BP14" s="7">
        <v>67.7419354838709</v>
      </c>
      <c r="BQ14" s="7">
        <v>32.258064516129</v>
      </c>
      <c r="BR14" s="7">
        <v>124.0</v>
      </c>
      <c r="BS14" s="7">
        <v>12.0</v>
      </c>
      <c r="BT14" s="7">
        <v>7.0</v>
      </c>
      <c r="BU14" s="7">
        <v>106.083333333333</v>
      </c>
      <c r="BV14" s="7">
        <v>1.02732396375829</v>
      </c>
      <c r="BW14" s="7">
        <v>52.5641025641025</v>
      </c>
      <c r="BX14" s="7">
        <v>1247.0</v>
      </c>
      <c r="BY14" s="7">
        <v>394.0</v>
      </c>
      <c r="BZ14" s="7">
        <v>1641.0</v>
      </c>
      <c r="CA14" s="7">
        <v>75.9902498476538</v>
      </c>
      <c r="CB14" s="7">
        <v>10.386075949367</v>
      </c>
      <c r="CC14" s="7">
        <v>5.0</v>
      </c>
      <c r="CD14" s="7">
        <v>21.0</v>
      </c>
      <c r="CE14" s="7">
        <v>82.2698454788708</v>
      </c>
      <c r="CF14" s="7">
        <v>24.0886611051271</v>
      </c>
      <c r="CG14" s="7">
        <v>4.96564337593031</v>
      </c>
      <c r="CH14" s="7">
        <v>2.09017676395857</v>
      </c>
      <c r="CI14" s="7">
        <v>5.50801462231908</v>
      </c>
      <c r="CJ14" s="7">
        <v>2.2771989756104</v>
      </c>
    </row>
    <row r="15">
      <c r="A15" s="7">
        <v>14.0</v>
      </c>
      <c r="B15" s="8">
        <v>1.4699999999999989</v>
      </c>
      <c r="C15" s="37">
        <v>11.0</v>
      </c>
      <c r="D15" s="37">
        <v>0.0</v>
      </c>
      <c r="E15" s="38">
        <f t="shared" si="1"/>
        <v>1</v>
      </c>
      <c r="F15" s="7">
        <v>3.0</v>
      </c>
      <c r="G15" s="7">
        <v>4.0</v>
      </c>
      <c r="H15" s="38">
        <v>-0.14285714285714285</v>
      </c>
      <c r="I15" s="39">
        <v>0.9866666666666667</v>
      </c>
      <c r="J15" s="8">
        <v>0.5699999999999932</v>
      </c>
      <c r="K15" s="7">
        <v>0.731292517006802</v>
      </c>
      <c r="L15" s="7">
        <v>0.414893617021276</v>
      </c>
      <c r="M15" s="7">
        <v>0.784210526315789</v>
      </c>
      <c r="N15" s="7">
        <v>404.0</v>
      </c>
      <c r="O15" s="7">
        <v>739.0</v>
      </c>
      <c r="P15" s="7">
        <v>1.82920792079207</v>
      </c>
      <c r="Q15" s="7">
        <v>0.77</v>
      </c>
      <c r="R15" s="7">
        <v>0.13</v>
      </c>
      <c r="S15" s="7">
        <v>141.61068393363</v>
      </c>
      <c r="T15" s="7">
        <v>0.886363636363636</v>
      </c>
      <c r="U15" s="7">
        <v>0.704</v>
      </c>
      <c r="V15" s="7">
        <v>0.222222222222222</v>
      </c>
      <c r="W15" s="7">
        <v>0.435294117647058</v>
      </c>
      <c r="X15" s="7">
        <v>0.9</v>
      </c>
      <c r="Y15" s="7">
        <v>0.711111111</v>
      </c>
      <c r="Z15" s="7">
        <v>0.846938775510204</v>
      </c>
      <c r="AA15" s="7">
        <v>0.5</v>
      </c>
      <c r="AB15" s="7">
        <v>0.7</v>
      </c>
      <c r="AC15" s="7">
        <v>271.0</v>
      </c>
      <c r="AD15" s="7">
        <v>476.0</v>
      </c>
      <c r="AE15" s="7">
        <v>1.75645756457564</v>
      </c>
      <c r="AF15" s="7">
        <v>0.53</v>
      </c>
      <c r="AG15" s="7">
        <v>0.12</v>
      </c>
      <c r="AH15" s="7">
        <v>143.388877661626</v>
      </c>
      <c r="AI15" s="7">
        <v>0.871794871794871</v>
      </c>
      <c r="AJ15" s="7">
        <v>0.840764331210191</v>
      </c>
      <c r="AK15" s="7">
        <v>0.75</v>
      </c>
      <c r="AL15" s="7">
        <v>0.479166666666666</v>
      </c>
      <c r="AM15" s="7">
        <v>0.9</v>
      </c>
      <c r="AN15" s="7">
        <v>0.659999999999999</v>
      </c>
      <c r="AO15" s="7">
        <v>178.0</v>
      </c>
      <c r="AP15" s="7">
        <v>178.0</v>
      </c>
      <c r="AQ15" s="7">
        <v>94.0</v>
      </c>
      <c r="AR15" s="7">
        <v>272.0</v>
      </c>
      <c r="AS15" s="7">
        <v>65.4411764705882</v>
      </c>
      <c r="AT15" s="7">
        <v>1.52808988764044</v>
      </c>
      <c r="AU15" s="7">
        <v>0.65</v>
      </c>
      <c r="AV15" s="7">
        <v>92.0</v>
      </c>
      <c r="AW15" s="7">
        <v>0.11</v>
      </c>
      <c r="AX15" s="7">
        <v>43.2584269662921</v>
      </c>
      <c r="AY15" s="7">
        <v>56.7415730337078</v>
      </c>
      <c r="AZ15" s="7">
        <v>16.0</v>
      </c>
      <c r="BA15" s="7">
        <v>4.8125</v>
      </c>
      <c r="BB15" s="7">
        <v>72.625</v>
      </c>
      <c r="BC15" s="7">
        <v>22.4305555555555</v>
      </c>
      <c r="BD15" s="7">
        <v>0.713312693498451</v>
      </c>
      <c r="BE15" s="7">
        <v>189.100924650796</v>
      </c>
      <c r="BF15" s="7">
        <v>21.0</v>
      </c>
      <c r="BG15" s="7">
        <v>14.0320789760724</v>
      </c>
      <c r="BH15" s="7">
        <v>73.076923076923</v>
      </c>
      <c r="BI15" s="7">
        <v>26.9230769230769</v>
      </c>
      <c r="BJ15" s="7">
        <v>26.0</v>
      </c>
      <c r="BK15" s="7">
        <v>4.0</v>
      </c>
      <c r="BL15" s="7">
        <v>4.75</v>
      </c>
      <c r="BM15" s="7">
        <v>76.75</v>
      </c>
      <c r="BN15" s="7">
        <v>0.178328173374612</v>
      </c>
      <c r="BO15" s="7">
        <v>60.4651162790697</v>
      </c>
      <c r="BP15" s="7">
        <v>38.15789474</v>
      </c>
      <c r="BQ15" s="7">
        <v>61.84210526</v>
      </c>
      <c r="BR15" s="7">
        <v>152.0</v>
      </c>
      <c r="BS15" s="7">
        <v>12.0</v>
      </c>
      <c r="BT15" s="7">
        <v>4.83333333333333</v>
      </c>
      <c r="BU15" s="7">
        <v>71.25</v>
      </c>
      <c r="BV15" s="7">
        <v>1.01258701919696</v>
      </c>
      <c r="BW15" s="7">
        <v>66.3755458515283</v>
      </c>
      <c r="BX15" s="7">
        <v>1064.0</v>
      </c>
      <c r="BY15" s="7">
        <v>409.0</v>
      </c>
      <c r="BZ15" s="7">
        <v>1473.0</v>
      </c>
      <c r="CA15" s="7">
        <v>72.2335369993211</v>
      </c>
      <c r="CB15" s="7">
        <v>10.7518248175182</v>
      </c>
      <c r="CC15" s="7">
        <v>4.0</v>
      </c>
      <c r="CD15" s="7">
        <v>19.0</v>
      </c>
      <c r="CE15" s="7">
        <v>71.3946222420594</v>
      </c>
      <c r="CF15" s="7">
        <v>22.9173497854336</v>
      </c>
      <c r="CG15" s="7">
        <v>3.9292160479661</v>
      </c>
      <c r="CH15" s="7">
        <v>1.44278847025904</v>
      </c>
      <c r="CI15" s="7">
        <v>5.2295098209203</v>
      </c>
      <c r="CJ15" s="7">
        <v>1.68731670498679</v>
      </c>
    </row>
    <row r="16">
      <c r="A16" s="7">
        <v>15.0</v>
      </c>
      <c r="B16" s="8">
        <v>0.7100000000000009</v>
      </c>
      <c r="C16" s="37">
        <v>5.0</v>
      </c>
      <c r="D16" s="37">
        <v>0.0</v>
      </c>
      <c r="E16" s="38">
        <f t="shared" si="1"/>
        <v>1</v>
      </c>
      <c r="F16" s="7">
        <v>3.0</v>
      </c>
      <c r="G16" s="7">
        <v>3.0</v>
      </c>
      <c r="H16" s="38">
        <v>0.0</v>
      </c>
      <c r="I16" s="39">
        <v>1.1924999999999997</v>
      </c>
      <c r="J16" s="8">
        <v>0.4899999999999949</v>
      </c>
      <c r="K16" s="7">
        <v>0.730337078651685</v>
      </c>
      <c r="L16" s="7">
        <v>0.506493506493506</v>
      </c>
      <c r="M16" s="7">
        <v>0.757142857</v>
      </c>
      <c r="N16" s="7">
        <v>442.0</v>
      </c>
      <c r="O16" s="7">
        <v>737.0</v>
      </c>
      <c r="P16" s="7">
        <v>1.66742081447963</v>
      </c>
      <c r="Q16" s="7">
        <v>0.71</v>
      </c>
      <c r="R16" s="7">
        <v>0.15</v>
      </c>
      <c r="S16" s="7">
        <v>153.205592625355</v>
      </c>
      <c r="T16" s="7">
        <v>0.542857142857142</v>
      </c>
      <c r="U16" s="7">
        <v>0.753125</v>
      </c>
      <c r="V16" s="7">
        <v>0.454545454545454</v>
      </c>
      <c r="W16" s="7">
        <v>0.515151515151515</v>
      </c>
      <c r="X16" s="7">
        <v>0.7</v>
      </c>
      <c r="Y16" s="7">
        <v>0.757142857142857</v>
      </c>
      <c r="Z16" s="7">
        <v>0.848958333333333</v>
      </c>
      <c r="AA16" s="7">
        <v>0.4</v>
      </c>
      <c r="AB16" s="7">
        <v>0.69</v>
      </c>
      <c r="AC16" s="7">
        <v>224.0</v>
      </c>
      <c r="AD16" s="7">
        <v>404.0</v>
      </c>
      <c r="AE16" s="7">
        <v>1.80357142857142</v>
      </c>
      <c r="AF16" s="7">
        <v>0.35</v>
      </c>
      <c r="AG16" s="7">
        <v>0.13</v>
      </c>
      <c r="AH16" s="7">
        <v>123.771989583797</v>
      </c>
      <c r="AI16" s="7">
        <v>0.785714285714285</v>
      </c>
      <c r="AJ16" s="7">
        <v>0.859756097560975</v>
      </c>
      <c r="AK16" s="7">
        <v>0.333333333333333</v>
      </c>
      <c r="AL16" s="7">
        <v>0.416666666666666</v>
      </c>
      <c r="AM16" s="7">
        <v>0.3</v>
      </c>
      <c r="AN16" s="7">
        <v>0.69</v>
      </c>
      <c r="AO16" s="7">
        <v>139.0</v>
      </c>
      <c r="AP16" s="7">
        <v>139.0</v>
      </c>
      <c r="AQ16" s="7">
        <v>55.0</v>
      </c>
      <c r="AR16" s="7">
        <v>194.0</v>
      </c>
      <c r="AS16" s="7">
        <v>71.6494845360824</v>
      </c>
      <c r="AT16" s="7">
        <v>1.395683453</v>
      </c>
      <c r="AU16" s="7">
        <v>0.47</v>
      </c>
      <c r="AV16" s="7">
        <v>29.5</v>
      </c>
      <c r="AW16" s="7">
        <v>0.1</v>
      </c>
      <c r="AX16" s="7">
        <v>64.7482014388489</v>
      </c>
      <c r="AY16" s="7">
        <v>35.251798561151</v>
      </c>
      <c r="AZ16" s="7">
        <v>20.0</v>
      </c>
      <c r="BA16" s="7">
        <v>4.5</v>
      </c>
      <c r="BB16" s="7">
        <v>65.55</v>
      </c>
      <c r="BC16" s="7">
        <v>21.3002777777777</v>
      </c>
      <c r="BD16" s="7">
        <v>0.938954891042109</v>
      </c>
      <c r="BE16" s="7">
        <v>156.43610785463</v>
      </c>
      <c r="BF16" s="7">
        <v>0.0</v>
      </c>
      <c r="BG16" s="7">
        <v>15.4358469050474</v>
      </c>
      <c r="BH16" s="7">
        <v>50.0</v>
      </c>
      <c r="BI16" s="7">
        <v>50.0</v>
      </c>
      <c r="BJ16" s="7">
        <v>30.0</v>
      </c>
      <c r="BK16" s="7">
        <v>4.0</v>
      </c>
      <c r="BL16" s="7">
        <v>3.75</v>
      </c>
      <c r="BM16" s="7">
        <v>50.0</v>
      </c>
      <c r="BN16" s="7">
        <v>0.187790978208421</v>
      </c>
      <c r="BO16" s="7">
        <v>85.7142857142857</v>
      </c>
      <c r="BP16" s="7">
        <v>68.8073394495412</v>
      </c>
      <c r="BQ16" s="7">
        <v>31.1926605504587</v>
      </c>
      <c r="BR16" s="7">
        <v>109.0</v>
      </c>
      <c r="BS16" s="7">
        <v>16.0</v>
      </c>
      <c r="BT16" s="7">
        <v>4.6875</v>
      </c>
      <c r="BU16" s="7">
        <v>69.4375</v>
      </c>
      <c r="BV16" s="7">
        <v>1.42648406349835</v>
      </c>
      <c r="BW16" s="7">
        <v>68.5534591194968</v>
      </c>
      <c r="BX16" s="7">
        <v>787.0</v>
      </c>
      <c r="BY16" s="7">
        <v>229.0</v>
      </c>
      <c r="BZ16" s="7">
        <v>1016.0</v>
      </c>
      <c r="CA16" s="7">
        <v>77.4606299212598</v>
      </c>
      <c r="CB16" s="7">
        <v>7.6390977443609</v>
      </c>
      <c r="CC16" s="7">
        <v>4.0</v>
      </c>
      <c r="CD16" s="7">
        <v>21.0</v>
      </c>
      <c r="CE16" s="7">
        <v>72.9720461790517</v>
      </c>
      <c r="CF16" s="7">
        <v>23.9737094229586</v>
      </c>
      <c r="CG16" s="7">
        <v>4.49793227483669</v>
      </c>
      <c r="CH16" s="7">
        <v>1.79484677064748</v>
      </c>
      <c r="CI16" s="7">
        <v>5.05163239380296</v>
      </c>
      <c r="CJ16" s="7">
        <v>1.9744431095483</v>
      </c>
    </row>
    <row r="17">
      <c r="A17" s="7">
        <v>16.0</v>
      </c>
      <c r="B17" s="8">
        <v>0.8599999999999994</v>
      </c>
      <c r="C17" s="37">
        <v>0.0</v>
      </c>
      <c r="D17" s="37">
        <v>2.0</v>
      </c>
      <c r="E17" s="38">
        <f t="shared" si="1"/>
        <v>-1</v>
      </c>
      <c r="F17" s="7">
        <v>3.0</v>
      </c>
      <c r="G17" s="7">
        <v>2.0</v>
      </c>
      <c r="H17" s="38">
        <v>0.2</v>
      </c>
      <c r="I17" s="39">
        <v>0.9533333333333328</v>
      </c>
      <c r="J17" s="8">
        <v>0.6700000000000017</v>
      </c>
      <c r="K17" s="7">
        <v>0.825363825363825</v>
      </c>
      <c r="L17" s="7">
        <v>0.491525423728813</v>
      </c>
      <c r="M17" s="7">
        <v>0.807142857142857</v>
      </c>
      <c r="N17" s="7">
        <v>579.0</v>
      </c>
      <c r="O17" s="7">
        <v>842.0</v>
      </c>
      <c r="P17" s="7">
        <v>1.45423143350604</v>
      </c>
      <c r="Q17" s="7">
        <v>0.71</v>
      </c>
      <c r="R17" s="7">
        <v>0.1</v>
      </c>
      <c r="S17" s="7">
        <v>202.092608003619</v>
      </c>
      <c r="T17" s="7">
        <v>0.809523809523809</v>
      </c>
      <c r="U17" s="7">
        <v>0.827751196172248</v>
      </c>
      <c r="V17" s="7">
        <v>0.5</v>
      </c>
      <c r="W17" s="7">
        <v>0.49090909090909</v>
      </c>
      <c r="X17" s="7">
        <v>0.8</v>
      </c>
      <c r="Y17" s="7">
        <v>0.807407407407407</v>
      </c>
      <c r="Z17" s="7">
        <v>0.965034965</v>
      </c>
      <c r="AA17" s="7">
        <v>0.5</v>
      </c>
      <c r="AB17" s="7">
        <v>0.693333333333333</v>
      </c>
      <c r="AC17" s="7">
        <v>318.0</v>
      </c>
      <c r="AD17" s="7">
        <v>536.0</v>
      </c>
      <c r="AE17" s="7">
        <v>1.68553459119496</v>
      </c>
      <c r="AF17" s="7">
        <v>0.41</v>
      </c>
      <c r="AG17" s="7">
        <v>0.08</v>
      </c>
      <c r="AH17" s="7">
        <v>166.274131274131</v>
      </c>
      <c r="AI17" s="7">
        <v>0.968253968253968</v>
      </c>
      <c r="AJ17" s="7">
        <v>0.964125560538116</v>
      </c>
      <c r="AK17" s="7">
        <v>0.555555555555555</v>
      </c>
      <c r="AL17" s="7">
        <v>0.461538461538461</v>
      </c>
      <c r="AM17" s="7">
        <v>0.8</v>
      </c>
      <c r="AN17" s="7">
        <v>0.678571428571428</v>
      </c>
      <c r="AO17" s="7">
        <v>177.0</v>
      </c>
      <c r="AP17" s="7">
        <v>177.0</v>
      </c>
      <c r="AQ17" s="7">
        <v>35.0</v>
      </c>
      <c r="AR17" s="7">
        <v>212.0</v>
      </c>
      <c r="AS17" s="7">
        <v>83.4905660377358</v>
      </c>
      <c r="AT17" s="7">
        <v>1.19774011299435</v>
      </c>
      <c r="AU17" s="7">
        <v>0.41</v>
      </c>
      <c r="AV17" s="7">
        <v>16.0</v>
      </c>
      <c r="AW17" s="7">
        <v>0.06</v>
      </c>
      <c r="AX17" s="7">
        <v>84.1807909604519</v>
      </c>
      <c r="AY17" s="7">
        <v>15.819209039548</v>
      </c>
      <c r="AZ17" s="7">
        <v>22.0</v>
      </c>
      <c r="BA17" s="7">
        <v>6.77272727272727</v>
      </c>
      <c r="BB17" s="7">
        <v>83.1818181818181</v>
      </c>
      <c r="BC17" s="7">
        <v>20.8944444444444</v>
      </c>
      <c r="BD17" s="7">
        <v>1.05291146</v>
      </c>
      <c r="BE17" s="7">
        <v>203.0943306</v>
      </c>
      <c r="BF17" s="7">
        <v>5.0</v>
      </c>
      <c r="BG17" s="7">
        <v>13.6424074726012</v>
      </c>
      <c r="BH17" s="7">
        <v>80.5555555555555</v>
      </c>
      <c r="BI17" s="7">
        <v>19.4444444444444</v>
      </c>
      <c r="BJ17" s="7">
        <v>36.0</v>
      </c>
      <c r="BK17" s="7">
        <v>5.0</v>
      </c>
      <c r="BL17" s="7">
        <v>5.8</v>
      </c>
      <c r="BM17" s="7">
        <v>87.6</v>
      </c>
      <c r="BN17" s="7">
        <v>0.239298059026854</v>
      </c>
      <c r="BO17" s="7">
        <v>90.0</v>
      </c>
      <c r="BP17" s="7">
        <v>85.10638298</v>
      </c>
      <c r="BQ17" s="7">
        <v>14.8936170212765</v>
      </c>
      <c r="BR17" s="7">
        <v>141.0</v>
      </c>
      <c r="BS17" s="7">
        <v>17.0</v>
      </c>
      <c r="BT17" s="7">
        <v>7.05882352941176</v>
      </c>
      <c r="BU17" s="7">
        <v>81.8823529411764</v>
      </c>
      <c r="BV17" s="7">
        <v>1.52747965856337</v>
      </c>
      <c r="BW17" s="7">
        <v>81.9767441860465</v>
      </c>
      <c r="BX17" s="7">
        <v>1175.0</v>
      </c>
      <c r="BY17" s="7">
        <v>433.0</v>
      </c>
      <c r="BZ17" s="7">
        <v>1608.0</v>
      </c>
      <c r="CA17" s="7">
        <v>73.0721393034825</v>
      </c>
      <c r="CB17" s="7">
        <v>10.1772151898734</v>
      </c>
      <c r="CC17" s="7">
        <v>4.0</v>
      </c>
      <c r="CD17" s="7">
        <v>19.0</v>
      </c>
      <c r="CE17" s="7">
        <v>83.2608549802692</v>
      </c>
      <c r="CF17" s="7">
        <v>22.475684683019</v>
      </c>
      <c r="CG17" s="7">
        <v>5.38794839696307</v>
      </c>
      <c r="CH17" s="7">
        <v>1.64718988360322</v>
      </c>
      <c r="CI17" s="7">
        <v>6.33643737260977</v>
      </c>
      <c r="CJ17" s="7">
        <v>1.85491064337017</v>
      </c>
    </row>
    <row r="18">
      <c r="A18" s="7">
        <v>17.0</v>
      </c>
      <c r="B18" s="8">
        <v>0.28999999999999915</v>
      </c>
      <c r="C18" s="37">
        <v>10.0</v>
      </c>
      <c r="D18" s="37">
        <v>0.0</v>
      </c>
      <c r="E18" s="38">
        <f t="shared" si="1"/>
        <v>1</v>
      </c>
      <c r="F18" s="7">
        <v>7.0</v>
      </c>
      <c r="G18" s="7">
        <v>3.0</v>
      </c>
      <c r="H18" s="38">
        <v>0.4</v>
      </c>
      <c r="I18" s="39">
        <v>0.6224999999999993</v>
      </c>
      <c r="J18" s="8">
        <v>0.6300000000000097</v>
      </c>
      <c r="K18" s="7">
        <v>0.766826923076923</v>
      </c>
      <c r="L18" s="7">
        <v>0.328571428571428</v>
      </c>
      <c r="M18" s="7">
        <v>0.761538461538461</v>
      </c>
      <c r="N18" s="7">
        <v>534.0</v>
      </c>
      <c r="O18" s="7">
        <v>888.0</v>
      </c>
      <c r="P18" s="7">
        <v>1.6629213483146</v>
      </c>
      <c r="Q18" s="7">
        <v>1.37</v>
      </c>
      <c r="R18" s="7">
        <v>0.11</v>
      </c>
      <c r="S18" s="7">
        <v>184.352037207964</v>
      </c>
      <c r="T18" s="7">
        <v>0.769230769230769</v>
      </c>
      <c r="U18" s="7">
        <v>0.766483516483516</v>
      </c>
      <c r="V18" s="7">
        <v>0.142857142857142</v>
      </c>
      <c r="W18" s="7">
        <v>0.338709677419354</v>
      </c>
      <c r="X18" s="7">
        <v>0.825</v>
      </c>
      <c r="Y18" s="7">
        <v>0.719047619</v>
      </c>
      <c r="Z18" s="7">
        <v>0.870036101083032</v>
      </c>
      <c r="AA18" s="7">
        <v>0.477272727272727</v>
      </c>
      <c r="AB18" s="7">
        <v>0.706666666666666</v>
      </c>
      <c r="AC18" s="7">
        <v>323.0</v>
      </c>
      <c r="AD18" s="7">
        <v>562.0</v>
      </c>
      <c r="AE18" s="7">
        <v>1.73993808049535</v>
      </c>
      <c r="AF18" s="7">
        <v>0.65</v>
      </c>
      <c r="AG18" s="7">
        <v>0.09</v>
      </c>
      <c r="AH18" s="7">
        <v>172.106263026196</v>
      </c>
      <c r="AI18" s="7">
        <v>0.866666666666666</v>
      </c>
      <c r="AJ18" s="7">
        <v>0.870967741935483</v>
      </c>
      <c r="AK18" s="7">
        <v>0.428571428571428</v>
      </c>
      <c r="AL18" s="7">
        <v>0.486486486486486</v>
      </c>
      <c r="AM18" s="7">
        <v>0.6</v>
      </c>
      <c r="AN18" s="7">
        <v>0.7</v>
      </c>
      <c r="AO18" s="7">
        <v>166.0</v>
      </c>
      <c r="AP18" s="7">
        <v>166.0</v>
      </c>
      <c r="AQ18" s="7">
        <v>71.0</v>
      </c>
      <c r="AR18" s="7">
        <v>237.0</v>
      </c>
      <c r="AS18" s="7">
        <v>70.04219409</v>
      </c>
      <c r="AT18" s="7">
        <v>1.42771084337349</v>
      </c>
      <c r="AU18" s="7">
        <v>0.65</v>
      </c>
      <c r="AV18" s="7">
        <v>25.0</v>
      </c>
      <c r="AW18" s="7">
        <v>0.1</v>
      </c>
      <c r="AX18" s="7">
        <v>66.2650602409638</v>
      </c>
      <c r="AY18" s="7">
        <v>33.7349397590361</v>
      </c>
      <c r="AZ18" s="7">
        <v>24.0</v>
      </c>
      <c r="BA18" s="7">
        <v>4.58333333333333</v>
      </c>
      <c r="BB18" s="7">
        <v>61.0</v>
      </c>
      <c r="BC18" s="7">
        <v>21.4119444444444</v>
      </c>
      <c r="BD18" s="7">
        <v>1.12086971186902</v>
      </c>
      <c r="BE18" s="7">
        <v>184.567869460029</v>
      </c>
      <c r="BF18" s="7">
        <v>0.0</v>
      </c>
      <c r="BG18" s="7">
        <v>13.4689697882579</v>
      </c>
      <c r="BH18" s="7">
        <v>65.5172413793103</v>
      </c>
      <c r="BI18" s="7">
        <v>34.4827586206896</v>
      </c>
      <c r="BJ18" s="7">
        <v>29.0</v>
      </c>
      <c r="BK18" s="7">
        <v>4.0</v>
      </c>
      <c r="BL18" s="7">
        <v>4.75</v>
      </c>
      <c r="BM18" s="7">
        <v>68.25</v>
      </c>
      <c r="BN18" s="7">
        <v>0.186811618644837</v>
      </c>
      <c r="BO18" s="7">
        <v>72.5</v>
      </c>
      <c r="BP18" s="7">
        <v>66.4233576642335</v>
      </c>
      <c r="BQ18" s="7">
        <v>33.5766423357664</v>
      </c>
      <c r="BR18" s="7">
        <v>137.0</v>
      </c>
      <c r="BS18" s="7">
        <v>20.0</v>
      </c>
      <c r="BT18" s="7">
        <v>4.55</v>
      </c>
      <c r="BU18" s="7">
        <v>59.55</v>
      </c>
      <c r="BV18" s="7">
        <v>1.71232876712328</v>
      </c>
      <c r="BW18" s="7">
        <v>69.5431472081218</v>
      </c>
      <c r="BX18" s="7">
        <v>1994.0</v>
      </c>
      <c r="BY18" s="7">
        <v>406.0</v>
      </c>
      <c r="BZ18" s="7">
        <v>2400.0</v>
      </c>
      <c r="CA18" s="7">
        <v>83.0833333333333</v>
      </c>
      <c r="CB18" s="7">
        <v>11.214953271028</v>
      </c>
      <c r="CC18" s="7">
        <v>9.0</v>
      </c>
      <c r="CD18" s="7">
        <v>21.0</v>
      </c>
      <c r="CE18" s="7">
        <v>112.9867273</v>
      </c>
      <c r="CF18" s="7">
        <v>22.1786131975989</v>
      </c>
      <c r="CG18" s="7">
        <v>7.39179901570081</v>
      </c>
      <c r="CH18" s="7">
        <v>1.84725404439192</v>
      </c>
      <c r="CI18" s="7">
        <v>7.48096586777304</v>
      </c>
      <c r="CJ18" s="7">
        <v>1.86396912903139</v>
      </c>
    </row>
    <row r="19">
      <c r="A19" s="7">
        <v>18.0</v>
      </c>
      <c r="B19" s="8">
        <v>0.7899999999999991</v>
      </c>
      <c r="C19" s="37">
        <v>13.0</v>
      </c>
      <c r="D19" s="37">
        <v>0.0</v>
      </c>
      <c r="E19" s="38">
        <f t="shared" si="1"/>
        <v>1</v>
      </c>
      <c r="F19" s="7">
        <v>0.0</v>
      </c>
      <c r="G19" s="7">
        <v>5.0</v>
      </c>
      <c r="H19" s="38">
        <v>-1.0</v>
      </c>
      <c r="I19" s="39">
        <v>1.2908333333333337</v>
      </c>
      <c r="J19" s="8">
        <v>0.35999999999999943</v>
      </c>
      <c r="K19" s="7">
        <v>0.809248554913294</v>
      </c>
      <c r="L19" s="7">
        <v>0.4</v>
      </c>
      <c r="M19" s="7">
        <v>0.872727272727272</v>
      </c>
      <c r="N19" s="7">
        <v>444.0</v>
      </c>
      <c r="O19" s="7">
        <v>754.0</v>
      </c>
      <c r="P19" s="7">
        <v>1.69819819819819</v>
      </c>
      <c r="Q19" s="7">
        <v>0.59</v>
      </c>
      <c r="R19" s="7">
        <v>0.1</v>
      </c>
      <c r="S19" s="7">
        <v>155.912309080415</v>
      </c>
      <c r="T19" s="7">
        <v>0.819672131</v>
      </c>
      <c r="U19" s="7">
        <v>0.807017543859649</v>
      </c>
      <c r="V19" s="7">
        <v>0.6</v>
      </c>
      <c r="W19" s="7">
        <v>0.363636363636363</v>
      </c>
      <c r="X19" s="7">
        <v>0.85</v>
      </c>
      <c r="Y19" s="7">
        <v>0.833333333333333</v>
      </c>
      <c r="Z19" s="7">
        <v>0.887681159420289</v>
      </c>
      <c r="AA19" s="7">
        <v>0.647058823529411</v>
      </c>
      <c r="AB19" s="7">
        <v>0.806666666666666</v>
      </c>
      <c r="AC19" s="7">
        <v>315.0</v>
      </c>
      <c r="AD19" s="7">
        <v>537.0</v>
      </c>
      <c r="AE19" s="7">
        <v>1.7047619047619</v>
      </c>
      <c r="AF19" s="7">
        <v>0.29</v>
      </c>
      <c r="AG19" s="7">
        <v>0.13</v>
      </c>
      <c r="AH19" s="7">
        <v>167.761819638784</v>
      </c>
      <c r="AI19" s="7">
        <v>0.821428571428571</v>
      </c>
      <c r="AJ19" s="7">
        <v>0.904109589041095</v>
      </c>
      <c r="AK19" s="7">
        <v>0.333333333333333</v>
      </c>
      <c r="AL19" s="7">
        <v>0.76</v>
      </c>
      <c r="AM19" s="7">
        <v>0.7</v>
      </c>
      <c r="AN19" s="7">
        <v>0.792857142857142</v>
      </c>
      <c r="AO19" s="7">
        <v>154.0</v>
      </c>
      <c r="AP19" s="7">
        <v>154.0</v>
      </c>
      <c r="AQ19" s="7">
        <v>72.0</v>
      </c>
      <c r="AR19" s="7">
        <v>226.0</v>
      </c>
      <c r="AS19" s="7">
        <v>68.1415929203539</v>
      </c>
      <c r="AT19" s="7">
        <v>1.46753246753246</v>
      </c>
      <c r="AU19" s="7">
        <v>0.29</v>
      </c>
      <c r="AV19" s="7">
        <v>20.0</v>
      </c>
      <c r="AW19" s="7">
        <v>0.14</v>
      </c>
      <c r="AX19" s="7">
        <v>79.8701298701298</v>
      </c>
      <c r="AY19" s="7">
        <v>20.1298701298701</v>
      </c>
      <c r="AZ19" s="7">
        <v>19.0</v>
      </c>
      <c r="BA19" s="7">
        <v>6.47368421052631</v>
      </c>
      <c r="BB19" s="7">
        <v>92.578947368421</v>
      </c>
      <c r="BC19" s="7">
        <v>21.1588888888888</v>
      </c>
      <c r="BD19" s="7">
        <v>0.897967757181116</v>
      </c>
      <c r="BE19" s="7">
        <v>174.236888626988</v>
      </c>
      <c r="BF19" s="7">
        <v>15.0</v>
      </c>
      <c r="BG19" s="7">
        <v>18.1610864419804</v>
      </c>
      <c r="BH19" s="7">
        <v>75.5555555555555</v>
      </c>
      <c r="BI19" s="7">
        <v>24.4444444444444</v>
      </c>
      <c r="BJ19" s="7">
        <v>45.0</v>
      </c>
      <c r="BK19" s="7">
        <v>6.0</v>
      </c>
      <c r="BL19" s="7">
        <v>5.66666666666666</v>
      </c>
      <c r="BM19" s="7">
        <v>73.8333333333333</v>
      </c>
      <c r="BN19" s="7">
        <v>0.283568765425615</v>
      </c>
      <c r="BO19" s="7">
        <v>72.5806451612903</v>
      </c>
      <c r="BP19" s="7">
        <v>81.6513761467889</v>
      </c>
      <c r="BQ19" s="7">
        <v>18.348623853211</v>
      </c>
      <c r="BR19" s="7">
        <v>109.0</v>
      </c>
      <c r="BS19" s="7">
        <v>13.0</v>
      </c>
      <c r="BT19" s="7">
        <v>6.84615384615384</v>
      </c>
      <c r="BU19" s="7">
        <v>101.230769230769</v>
      </c>
      <c r="BV19" s="7">
        <v>1.09642957548495</v>
      </c>
      <c r="BW19" s="7">
        <v>66.4634146341463</v>
      </c>
      <c r="BX19" s="7">
        <v>1641.0</v>
      </c>
      <c r="BY19" s="7">
        <v>579.0</v>
      </c>
      <c r="BZ19" s="7">
        <v>2220.0</v>
      </c>
      <c r="CA19" s="7">
        <v>73.9189189189189</v>
      </c>
      <c r="CB19" s="7">
        <v>13.875</v>
      </c>
      <c r="CC19" s="7">
        <v>7.5</v>
      </c>
      <c r="CD19" s="7">
        <v>14.0</v>
      </c>
      <c r="CE19" s="7">
        <v>89.9420295512657</v>
      </c>
      <c r="CF19" s="7">
        <v>14.9572744108053</v>
      </c>
      <c r="CG19" s="7">
        <v>8.14341370305739</v>
      </c>
      <c r="CH19" s="7">
        <v>1.63493707626762</v>
      </c>
      <c r="CI19" s="7">
        <v>8.106180421</v>
      </c>
      <c r="CJ19" s="7">
        <v>1.62941353438178</v>
      </c>
    </row>
    <row r="20">
      <c r="A20" s="7">
        <v>19.0</v>
      </c>
      <c r="B20" s="8">
        <v>0.5700000000000003</v>
      </c>
      <c r="C20" s="37">
        <v>9.0</v>
      </c>
      <c r="D20" s="37">
        <v>3.0</v>
      </c>
      <c r="E20" s="38">
        <f t="shared" si="1"/>
        <v>0.5</v>
      </c>
      <c r="F20" s="7">
        <v>1.0</v>
      </c>
      <c r="G20" s="7">
        <v>1.0</v>
      </c>
      <c r="H20" s="38">
        <v>0.0</v>
      </c>
      <c r="I20" s="39">
        <v>1.0983333333333327</v>
      </c>
      <c r="J20" s="8">
        <v>0.25</v>
      </c>
      <c r="K20" s="7">
        <v>0.842592592592592</v>
      </c>
      <c r="L20" s="7">
        <v>0.406779661016949</v>
      </c>
      <c r="M20" s="7">
        <v>0.794999999999999</v>
      </c>
      <c r="N20" s="7">
        <v>415.0</v>
      </c>
      <c r="O20" s="7">
        <v>665.0</v>
      </c>
      <c r="P20" s="7">
        <v>1.60240963855421</v>
      </c>
      <c r="Q20" s="7">
        <v>0.77</v>
      </c>
      <c r="R20" s="7">
        <v>0.09</v>
      </c>
      <c r="S20" s="7">
        <v>147.77691686312</v>
      </c>
      <c r="T20" s="7">
        <v>0.76</v>
      </c>
      <c r="U20" s="7">
        <v>0.849498327759197</v>
      </c>
      <c r="V20" s="7">
        <v>0.5</v>
      </c>
      <c r="W20" s="7">
        <v>0.407407407407407</v>
      </c>
      <c r="X20" s="7">
        <v>0.7</v>
      </c>
      <c r="Y20" s="7">
        <v>0.814999999999999</v>
      </c>
      <c r="Z20" s="7">
        <v>0.903083700440528</v>
      </c>
      <c r="AA20" s="7">
        <v>0.282608695652173</v>
      </c>
      <c r="AB20" s="7">
        <v>0.678571428571428</v>
      </c>
      <c r="AC20" s="7">
        <v>287.0</v>
      </c>
      <c r="AD20" s="7">
        <v>529.0</v>
      </c>
      <c r="AE20" s="7">
        <v>1.84320557491289</v>
      </c>
      <c r="AF20" s="7">
        <v>0.59</v>
      </c>
      <c r="AG20" s="7">
        <v>0.1</v>
      </c>
      <c r="AH20" s="7">
        <v>151.80537019578</v>
      </c>
      <c r="AI20" s="7">
        <v>0.8</v>
      </c>
      <c r="AJ20" s="7">
        <v>0.925133689839572</v>
      </c>
      <c r="AK20" s="7">
        <v>0.307692307692307</v>
      </c>
      <c r="AL20" s="7">
        <v>0.272727272727272</v>
      </c>
      <c r="AM20" s="7">
        <v>0.45</v>
      </c>
      <c r="AN20" s="7">
        <v>0.718181818181818</v>
      </c>
      <c r="AO20" s="7">
        <v>145.0</v>
      </c>
      <c r="AP20" s="7">
        <v>145.0</v>
      </c>
      <c r="AQ20" s="7">
        <v>49.0</v>
      </c>
      <c r="AR20" s="7">
        <v>194.0</v>
      </c>
      <c r="AS20" s="7">
        <v>74.7422680412371</v>
      </c>
      <c r="AT20" s="7">
        <v>1.33793103448275</v>
      </c>
      <c r="AU20" s="7">
        <v>0.89</v>
      </c>
      <c r="AV20" s="7">
        <v>55.5</v>
      </c>
      <c r="AW20" s="7">
        <v>0.085</v>
      </c>
      <c r="AX20" s="7">
        <v>55.1724137931034</v>
      </c>
      <c r="AY20" s="7">
        <v>44.8275862068965</v>
      </c>
      <c r="AZ20" s="7">
        <v>18.0</v>
      </c>
      <c r="BA20" s="7">
        <v>4.44444444444444</v>
      </c>
      <c r="BB20" s="7">
        <v>71.2777777777777</v>
      </c>
      <c r="BC20" s="7">
        <v>23.3591666666666</v>
      </c>
      <c r="BD20" s="7">
        <v>0.770575434340551</v>
      </c>
      <c r="BE20" s="7">
        <v>148.744434550311</v>
      </c>
      <c r="BF20" s="7">
        <v>8.0</v>
      </c>
      <c r="BG20" s="7">
        <v>15.6145677100343</v>
      </c>
      <c r="BH20" s="7">
        <v>32.3529411764705</v>
      </c>
      <c r="BI20" s="7">
        <v>67.64705882</v>
      </c>
      <c r="BJ20" s="7">
        <v>34.0</v>
      </c>
      <c r="BK20" s="7">
        <v>3.0</v>
      </c>
      <c r="BL20" s="7">
        <v>3.66666666666666</v>
      </c>
      <c r="BM20" s="7">
        <v>69.3333333333333</v>
      </c>
      <c r="BN20" s="7">
        <v>0.128429239056758</v>
      </c>
      <c r="BO20" s="7">
        <v>80.9523809523809</v>
      </c>
      <c r="BP20" s="7">
        <v>62.1621621621621</v>
      </c>
      <c r="BQ20" s="7">
        <v>37.8378378378378</v>
      </c>
      <c r="BR20" s="7">
        <v>111.0</v>
      </c>
      <c r="BS20" s="7">
        <v>15.0</v>
      </c>
      <c r="BT20" s="7">
        <v>4.6</v>
      </c>
      <c r="BU20" s="7">
        <v>71.6666666666666</v>
      </c>
      <c r="BV20" s="7">
        <v>1.26945319479054</v>
      </c>
      <c r="BW20" s="7">
        <v>73.0263157894736</v>
      </c>
      <c r="BX20" s="7">
        <v>1286.0</v>
      </c>
      <c r="BY20" s="7">
        <v>308.0</v>
      </c>
      <c r="BZ20" s="7">
        <v>1594.0</v>
      </c>
      <c r="CA20" s="7">
        <v>80.6775407779171</v>
      </c>
      <c r="CB20" s="7">
        <v>11.984962406015</v>
      </c>
      <c r="CC20" s="7">
        <v>6.5</v>
      </c>
      <c r="CD20" s="7">
        <v>14.0</v>
      </c>
      <c r="CE20" s="7">
        <v>70.11104332</v>
      </c>
      <c r="CF20" s="7">
        <v>15.7146529505561</v>
      </c>
      <c r="CG20" s="7">
        <v>6.116034403</v>
      </c>
      <c r="CH20" s="7">
        <v>1.81629133861626</v>
      </c>
      <c r="CI20" s="7">
        <v>6.535906553</v>
      </c>
      <c r="CJ20" s="7">
        <v>1.90449934464359</v>
      </c>
    </row>
    <row r="21">
      <c r="A21" s="7">
        <v>20.0</v>
      </c>
      <c r="B21" s="8">
        <v>0.5399999999999991</v>
      </c>
      <c r="C21" s="37">
        <v>7.0</v>
      </c>
      <c r="D21" s="37">
        <v>0.0</v>
      </c>
      <c r="E21" s="38">
        <f t="shared" si="1"/>
        <v>1</v>
      </c>
      <c r="F21" s="7">
        <v>2.0</v>
      </c>
      <c r="G21" s="7">
        <v>6.0</v>
      </c>
      <c r="H21" s="38">
        <v>-0.5</v>
      </c>
      <c r="I21" s="39">
        <v>0.689999999999999</v>
      </c>
      <c r="J21" s="8">
        <v>0.710000000000008</v>
      </c>
      <c r="K21" s="7">
        <v>0.721311475409836</v>
      </c>
      <c r="L21" s="7">
        <v>0.490196078431372</v>
      </c>
      <c r="M21" s="7">
        <v>0.72</v>
      </c>
      <c r="N21" s="7">
        <v>509.0</v>
      </c>
      <c r="O21" s="7">
        <v>901.0</v>
      </c>
      <c r="P21" s="7">
        <v>1.77013752455795</v>
      </c>
      <c r="Q21" s="7">
        <v>1.07</v>
      </c>
      <c r="R21" s="7">
        <v>0.11</v>
      </c>
      <c r="S21" s="7">
        <v>180.2900048</v>
      </c>
      <c r="T21" s="7">
        <v>0.773333333333333</v>
      </c>
      <c r="U21" s="7">
        <v>0.707903780068728</v>
      </c>
      <c r="V21" s="7">
        <v>0.333333333333333</v>
      </c>
      <c r="W21" s="7">
        <v>0.511111111111111</v>
      </c>
      <c r="X21" s="7">
        <v>0.599999999999999</v>
      </c>
      <c r="Y21" s="7">
        <v>0.695454545454545</v>
      </c>
      <c r="Z21" s="7">
        <v>0.820408163265306</v>
      </c>
      <c r="AA21" s="7">
        <v>0.535211267605633</v>
      </c>
      <c r="AB21" s="7">
        <v>0.684615384615384</v>
      </c>
      <c r="AC21" s="7">
        <v>284.0</v>
      </c>
      <c r="AD21" s="7">
        <v>526.0</v>
      </c>
      <c r="AE21" s="7">
        <v>1.85211267605633</v>
      </c>
      <c r="AF21" s="7">
        <v>0.41</v>
      </c>
      <c r="AG21" s="7">
        <v>0.1</v>
      </c>
      <c r="AH21" s="7">
        <v>164.691404264426</v>
      </c>
      <c r="AI21" s="7">
        <v>0.738095238095238</v>
      </c>
      <c r="AJ21" s="7">
        <v>0.83743842364532</v>
      </c>
      <c r="AK21" s="7">
        <v>0.588235294117647</v>
      </c>
      <c r="AL21" s="7">
        <v>0.518518518518518</v>
      </c>
      <c r="AM21" s="7">
        <v>0.6</v>
      </c>
      <c r="AN21" s="7">
        <v>0.75</v>
      </c>
      <c r="AO21" s="7">
        <v>200.0</v>
      </c>
      <c r="AP21" s="7">
        <v>200.0</v>
      </c>
      <c r="AQ21" s="7">
        <v>81.0</v>
      </c>
      <c r="AR21" s="7">
        <v>281.0</v>
      </c>
      <c r="AS21" s="7">
        <v>71.1743772241992</v>
      </c>
      <c r="AT21" s="7">
        <v>1.405</v>
      </c>
      <c r="AU21" s="7">
        <v>0.59</v>
      </c>
      <c r="AV21" s="7">
        <v>26.0</v>
      </c>
      <c r="AW21" s="7">
        <v>0.1</v>
      </c>
      <c r="AX21" s="7">
        <v>73.0</v>
      </c>
      <c r="AY21" s="7">
        <v>27.0</v>
      </c>
      <c r="AZ21" s="7">
        <v>31.0</v>
      </c>
      <c r="BA21" s="7">
        <v>4.70967741935483</v>
      </c>
      <c r="BB21" s="7">
        <v>71.67741935</v>
      </c>
      <c r="BC21" s="7">
        <v>19.1772222222222</v>
      </c>
      <c r="BD21" s="7">
        <v>1.61650105738868</v>
      </c>
      <c r="BE21" s="7">
        <v>250.11217415218</v>
      </c>
      <c r="BF21" s="7">
        <v>65.0</v>
      </c>
      <c r="BG21" s="7">
        <v>13.9975098966522</v>
      </c>
      <c r="BH21" s="7">
        <v>68.1818181818181</v>
      </c>
      <c r="BI21" s="7">
        <v>31.8181818181818</v>
      </c>
      <c r="BJ21" s="7">
        <v>44.0</v>
      </c>
      <c r="BK21" s="7">
        <v>6.0</v>
      </c>
      <c r="BL21" s="7">
        <v>5.0</v>
      </c>
      <c r="BM21" s="7">
        <v>86.3333333333333</v>
      </c>
      <c r="BN21" s="7">
        <v>0.312871172397809</v>
      </c>
      <c r="BO21" s="7">
        <v>67.69230769</v>
      </c>
      <c r="BP21" s="7">
        <v>74.3589743589743</v>
      </c>
      <c r="BQ21" s="7">
        <v>25.6410256410256</v>
      </c>
      <c r="BR21" s="7">
        <v>156.0</v>
      </c>
      <c r="BS21" s="7">
        <v>25.0</v>
      </c>
      <c r="BT21" s="7">
        <v>4.64</v>
      </c>
      <c r="BU21" s="7">
        <v>68.16</v>
      </c>
      <c r="BV21" s="7">
        <v>2.33960694603306</v>
      </c>
      <c r="BW21" s="7">
        <v>72.2222222222222</v>
      </c>
      <c r="BX21" s="7">
        <v>965.0</v>
      </c>
      <c r="BY21" s="7">
        <v>373.0</v>
      </c>
      <c r="BZ21" s="7">
        <v>1338.0</v>
      </c>
      <c r="CA21" s="7">
        <v>72.1225710014947</v>
      </c>
      <c r="CB21" s="7">
        <v>10.453125</v>
      </c>
      <c r="CC21" s="7">
        <v>4.5</v>
      </c>
      <c r="CD21" s="7">
        <v>16.0</v>
      </c>
      <c r="CE21" s="7">
        <v>66.7689001050508</v>
      </c>
      <c r="CF21" s="7">
        <v>17.9873523033464</v>
      </c>
      <c r="CG21" s="7">
        <v>5.48548956686283</v>
      </c>
      <c r="CH21" s="7">
        <v>1.90459330497051</v>
      </c>
      <c r="CI21" s="7">
        <v>5.91361267235824</v>
      </c>
      <c r="CJ21" s="7">
        <v>2.01335013561531</v>
      </c>
    </row>
  </sheetData>
  <drawing r:id="rId1"/>
</worksheet>
</file>