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Chocolate Pellet Feds/"/>
    </mc:Choice>
  </mc:AlternateContent>
  <xr:revisionPtr revIDLastSave="14" documentId="11_DB25EF62663549492308BA307AFCFD2FDB731DEB" xr6:coauthVersionLast="47" xr6:coauthVersionMax="47" xr10:uidLastSave="{97D9A609-66FB-401A-ABEA-E546EF2A3318}"/>
  <bookViews>
    <workbookView xWindow="2190" yWindow="1455" windowWidth="23505" windowHeight="14445" xr2:uid="{00000000-000D-0000-FFFF-FFFF00000000}"/>
  </bookViews>
  <sheets>
    <sheet name="Sheet1" sheetId="9" r:id="rId1"/>
    <sheet name="All Data Sheet" sheetId="1" r:id="rId2"/>
    <sheet name="Animal Weight" sheetId="3" r:id="rId3"/>
    <sheet name="Chow Weight" sheetId="4" r:id="rId4"/>
    <sheet name="Pellet Intake" sheetId="5" r:id="rId5"/>
    <sheet name="Preference Tests" sheetId="7" r:id="rId6"/>
    <sheet name="Correlation Plot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8" l="1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G6" i="7"/>
  <c r="D6" i="7"/>
  <c r="G5" i="7"/>
  <c r="D5" i="7"/>
  <c r="G4" i="7"/>
  <c r="D4" i="7"/>
  <c r="G3" i="7"/>
  <c r="D3" i="7"/>
  <c r="J21" i="5"/>
  <c r="K21" i="5" s="1"/>
  <c r="J20" i="5"/>
  <c r="K20" i="5" s="1"/>
  <c r="K19" i="5"/>
  <c r="J19" i="5"/>
  <c r="J18" i="5"/>
  <c r="K18" i="5" s="1"/>
  <c r="J17" i="5"/>
  <c r="K17" i="5" s="1"/>
  <c r="J16" i="5"/>
  <c r="K16" i="5" s="1"/>
  <c r="J15" i="5"/>
  <c r="K15" i="5" s="1"/>
  <c r="K14" i="5"/>
  <c r="J14" i="5"/>
  <c r="K13" i="5"/>
  <c r="J13" i="5"/>
  <c r="J12" i="5"/>
  <c r="K12" i="5" s="1"/>
  <c r="J11" i="5"/>
  <c r="K11" i="5" s="1"/>
  <c r="J10" i="5"/>
  <c r="K10" i="5" s="1"/>
  <c r="K9" i="5"/>
  <c r="J9" i="5"/>
  <c r="J8" i="5"/>
  <c r="K8" i="5" s="1"/>
  <c r="J7" i="5"/>
  <c r="K7" i="5" s="1"/>
  <c r="J6" i="5"/>
  <c r="K6" i="5" s="1"/>
  <c r="J5" i="5"/>
  <c r="K5" i="5" s="1"/>
  <c r="K4" i="5"/>
  <c r="J4" i="5"/>
  <c r="K3" i="5"/>
  <c r="J3" i="5"/>
  <c r="J2" i="5"/>
  <c r="K2" i="5" s="1"/>
  <c r="Y21" i="4"/>
  <c r="V21" i="4"/>
  <c r="T21" i="4"/>
  <c r="Q21" i="4"/>
  <c r="Z21" i="4" s="1"/>
  <c r="N21" i="4"/>
  <c r="G21" i="4"/>
  <c r="H21" i="4" s="1"/>
  <c r="Z20" i="4"/>
  <c r="Y20" i="4"/>
  <c r="V20" i="4"/>
  <c r="T20" i="4"/>
  <c r="Q20" i="4"/>
  <c r="N20" i="4"/>
  <c r="H20" i="4"/>
  <c r="G20" i="4"/>
  <c r="Y19" i="4"/>
  <c r="V19" i="4"/>
  <c r="T19" i="4"/>
  <c r="Q19" i="4"/>
  <c r="N19" i="4"/>
  <c r="Z19" i="4" s="1"/>
  <c r="G19" i="4"/>
  <c r="H19" i="4" s="1"/>
  <c r="Y18" i="4"/>
  <c r="V18" i="4"/>
  <c r="T18" i="4"/>
  <c r="Q18" i="4"/>
  <c r="N18" i="4"/>
  <c r="Z18" i="4" s="1"/>
  <c r="G18" i="4"/>
  <c r="H18" i="4" s="1"/>
  <c r="Z17" i="4"/>
  <c r="Y17" i="4"/>
  <c r="V17" i="4"/>
  <c r="T17" i="4"/>
  <c r="Q17" i="4"/>
  <c r="N17" i="4"/>
  <c r="G17" i="4"/>
  <c r="H17" i="4" s="1"/>
  <c r="Y16" i="4"/>
  <c r="V16" i="4"/>
  <c r="T16" i="4"/>
  <c r="Q16" i="4"/>
  <c r="Z16" i="4" s="1"/>
  <c r="N16" i="4"/>
  <c r="G16" i="4"/>
  <c r="H16" i="4" s="1"/>
  <c r="Y15" i="4"/>
  <c r="V15" i="4"/>
  <c r="T15" i="4"/>
  <c r="Q15" i="4"/>
  <c r="N15" i="4"/>
  <c r="Z15" i="4" s="1"/>
  <c r="H15" i="4"/>
  <c r="G15" i="4"/>
  <c r="Y14" i="4"/>
  <c r="V14" i="4"/>
  <c r="T14" i="4"/>
  <c r="Q14" i="4"/>
  <c r="N14" i="4"/>
  <c r="Z14" i="4" s="1"/>
  <c r="G14" i="4"/>
  <c r="H14" i="4" s="1"/>
  <c r="Y13" i="4"/>
  <c r="V13" i="4"/>
  <c r="T13" i="4"/>
  <c r="Q13" i="4"/>
  <c r="N13" i="4"/>
  <c r="Z13" i="4" s="1"/>
  <c r="G13" i="4"/>
  <c r="H13" i="4" s="1"/>
  <c r="Y12" i="4"/>
  <c r="V12" i="4"/>
  <c r="Z12" i="4" s="1"/>
  <c r="T12" i="4"/>
  <c r="Q12" i="4"/>
  <c r="N12" i="4"/>
  <c r="G12" i="4"/>
  <c r="H12" i="4" s="1"/>
  <c r="Z11" i="4"/>
  <c r="Y11" i="4"/>
  <c r="V11" i="4"/>
  <c r="T11" i="4"/>
  <c r="Q11" i="4"/>
  <c r="N11" i="4"/>
  <c r="G11" i="4"/>
  <c r="H11" i="4" s="1"/>
  <c r="Y10" i="4"/>
  <c r="V10" i="4"/>
  <c r="T10" i="4"/>
  <c r="Q10" i="4"/>
  <c r="N10" i="4"/>
  <c r="Z10" i="4" s="1"/>
  <c r="H10" i="4"/>
  <c r="G10" i="4"/>
  <c r="Y9" i="4"/>
  <c r="V9" i="4"/>
  <c r="T9" i="4"/>
  <c r="Q9" i="4"/>
  <c r="N9" i="4"/>
  <c r="Z9" i="4" s="1"/>
  <c r="G9" i="4"/>
  <c r="H9" i="4" s="1"/>
  <c r="Y8" i="4"/>
  <c r="V8" i="4"/>
  <c r="T8" i="4"/>
  <c r="Q8" i="4"/>
  <c r="N8" i="4"/>
  <c r="Z8" i="4" s="1"/>
  <c r="G8" i="4"/>
  <c r="H8" i="4" s="1"/>
  <c r="Y7" i="4"/>
  <c r="V7" i="4"/>
  <c r="Z7" i="4" s="1"/>
  <c r="T7" i="4"/>
  <c r="Q7" i="4"/>
  <c r="N7" i="4"/>
  <c r="G7" i="4"/>
  <c r="H7" i="4" s="1"/>
  <c r="Y6" i="4"/>
  <c r="V6" i="4"/>
  <c r="T6" i="4"/>
  <c r="Q6" i="4"/>
  <c r="Z6" i="4" s="1"/>
  <c r="N6" i="4"/>
  <c r="G6" i="4"/>
  <c r="H6" i="4" s="1"/>
  <c r="Y5" i="4"/>
  <c r="V5" i="4"/>
  <c r="T5" i="4"/>
  <c r="Q5" i="4"/>
  <c r="N5" i="4"/>
  <c r="Z5" i="4" s="1"/>
  <c r="H5" i="4"/>
  <c r="G5" i="4"/>
  <c r="Y4" i="4"/>
  <c r="V4" i="4"/>
  <c r="T4" i="4"/>
  <c r="Q4" i="4"/>
  <c r="N4" i="4"/>
  <c r="Z4" i="4" s="1"/>
  <c r="G4" i="4"/>
  <c r="H4" i="4" s="1"/>
  <c r="Y3" i="4"/>
  <c r="V3" i="4"/>
  <c r="T3" i="4"/>
  <c r="Q3" i="4"/>
  <c r="N3" i="4"/>
  <c r="Z3" i="4" s="1"/>
  <c r="G3" i="4"/>
  <c r="H3" i="4" s="1"/>
  <c r="Y2" i="4"/>
  <c r="V2" i="4"/>
  <c r="Z2" i="4" s="1"/>
  <c r="T2" i="4"/>
  <c r="Q2" i="4"/>
  <c r="N2" i="4"/>
  <c r="G2" i="4"/>
  <c r="H2" i="4" s="1"/>
  <c r="T21" i="3"/>
  <c r="R21" i="3"/>
  <c r="P21" i="3"/>
  <c r="N21" i="3"/>
  <c r="L21" i="3"/>
  <c r="J21" i="3"/>
  <c r="H21" i="3"/>
  <c r="F21" i="3"/>
  <c r="D21" i="3"/>
  <c r="T20" i="3"/>
  <c r="R20" i="3"/>
  <c r="P20" i="3"/>
  <c r="N20" i="3"/>
  <c r="L20" i="3"/>
  <c r="J20" i="3"/>
  <c r="H20" i="3"/>
  <c r="F20" i="3"/>
  <c r="D20" i="3"/>
  <c r="T19" i="3"/>
  <c r="R19" i="3"/>
  <c r="P19" i="3"/>
  <c r="N19" i="3"/>
  <c r="L19" i="3"/>
  <c r="J19" i="3"/>
  <c r="H19" i="3"/>
  <c r="F19" i="3"/>
  <c r="D19" i="3"/>
  <c r="T18" i="3"/>
  <c r="R18" i="3"/>
  <c r="P18" i="3"/>
  <c r="N18" i="3"/>
  <c r="L18" i="3"/>
  <c r="J18" i="3"/>
  <c r="H18" i="3"/>
  <c r="F18" i="3"/>
  <c r="D18" i="3"/>
  <c r="T17" i="3"/>
  <c r="R17" i="3"/>
  <c r="P17" i="3"/>
  <c r="N17" i="3"/>
  <c r="L17" i="3"/>
  <c r="J17" i="3"/>
  <c r="H17" i="3"/>
  <c r="F17" i="3"/>
  <c r="D17" i="3"/>
  <c r="T16" i="3"/>
  <c r="R16" i="3"/>
  <c r="P16" i="3"/>
  <c r="N16" i="3"/>
  <c r="L16" i="3"/>
  <c r="J16" i="3"/>
  <c r="H16" i="3"/>
  <c r="F16" i="3"/>
  <c r="D16" i="3"/>
  <c r="T15" i="3"/>
  <c r="R15" i="3"/>
  <c r="P15" i="3"/>
  <c r="N15" i="3"/>
  <c r="L15" i="3"/>
  <c r="J15" i="3"/>
  <c r="H15" i="3"/>
  <c r="F15" i="3"/>
  <c r="D15" i="3"/>
  <c r="T14" i="3"/>
  <c r="R14" i="3"/>
  <c r="P14" i="3"/>
  <c r="N14" i="3"/>
  <c r="L14" i="3"/>
  <c r="J14" i="3"/>
  <c r="H14" i="3"/>
  <c r="F14" i="3"/>
  <c r="D14" i="3"/>
  <c r="T13" i="3"/>
  <c r="R13" i="3"/>
  <c r="P13" i="3"/>
  <c r="N13" i="3"/>
  <c r="L13" i="3"/>
  <c r="J13" i="3"/>
  <c r="H13" i="3"/>
  <c r="F13" i="3"/>
  <c r="D13" i="3"/>
  <c r="T12" i="3"/>
  <c r="R12" i="3"/>
  <c r="P12" i="3"/>
  <c r="N12" i="3"/>
  <c r="L12" i="3"/>
  <c r="J12" i="3"/>
  <c r="H12" i="3"/>
  <c r="F12" i="3"/>
  <c r="D12" i="3"/>
  <c r="T11" i="3"/>
  <c r="R11" i="3"/>
  <c r="P11" i="3"/>
  <c r="N11" i="3"/>
  <c r="L11" i="3"/>
  <c r="J11" i="3"/>
  <c r="H11" i="3"/>
  <c r="F11" i="3"/>
  <c r="D11" i="3"/>
  <c r="T10" i="3"/>
  <c r="R10" i="3"/>
  <c r="P10" i="3"/>
  <c r="N10" i="3"/>
  <c r="L10" i="3"/>
  <c r="J10" i="3"/>
  <c r="H10" i="3"/>
  <c r="F10" i="3"/>
  <c r="D10" i="3"/>
  <c r="T9" i="3"/>
  <c r="R9" i="3"/>
  <c r="P9" i="3"/>
  <c r="N9" i="3"/>
  <c r="L9" i="3"/>
  <c r="J9" i="3"/>
  <c r="H9" i="3"/>
  <c r="F9" i="3"/>
  <c r="D9" i="3"/>
  <c r="T8" i="3"/>
  <c r="R8" i="3"/>
  <c r="P8" i="3"/>
  <c r="N8" i="3"/>
  <c r="L8" i="3"/>
  <c r="J8" i="3"/>
  <c r="H8" i="3"/>
  <c r="F8" i="3"/>
  <c r="D8" i="3"/>
  <c r="T7" i="3"/>
  <c r="R7" i="3"/>
  <c r="P7" i="3"/>
  <c r="N7" i="3"/>
  <c r="L7" i="3"/>
  <c r="J7" i="3"/>
  <c r="H7" i="3"/>
  <c r="F7" i="3"/>
  <c r="D7" i="3"/>
  <c r="T6" i="3"/>
  <c r="R6" i="3"/>
  <c r="P6" i="3"/>
  <c r="N6" i="3"/>
  <c r="L6" i="3"/>
  <c r="J6" i="3"/>
  <c r="H6" i="3"/>
  <c r="F6" i="3"/>
  <c r="D6" i="3"/>
  <c r="T5" i="3"/>
  <c r="R5" i="3"/>
  <c r="P5" i="3"/>
  <c r="N5" i="3"/>
  <c r="L5" i="3"/>
  <c r="J5" i="3"/>
  <c r="H5" i="3"/>
  <c r="F5" i="3"/>
  <c r="D5" i="3"/>
  <c r="T4" i="3"/>
  <c r="R4" i="3"/>
  <c r="P4" i="3"/>
  <c r="N4" i="3"/>
  <c r="L4" i="3"/>
  <c r="J4" i="3"/>
  <c r="H4" i="3"/>
  <c r="F4" i="3"/>
  <c r="D4" i="3"/>
  <c r="T3" i="3"/>
  <c r="R3" i="3"/>
  <c r="P3" i="3"/>
  <c r="N3" i="3"/>
  <c r="L3" i="3"/>
  <c r="J3" i="3"/>
  <c r="H3" i="3"/>
  <c r="F3" i="3"/>
  <c r="D3" i="3"/>
  <c r="T2" i="3"/>
  <c r="R2" i="3"/>
  <c r="P2" i="3"/>
  <c r="N2" i="3"/>
  <c r="L2" i="3"/>
  <c r="J2" i="3"/>
  <c r="H2" i="3"/>
  <c r="F2" i="3"/>
  <c r="D2" i="3"/>
  <c r="V21" i="1"/>
  <c r="S21" i="1"/>
  <c r="K21" i="1"/>
  <c r="V20" i="1"/>
  <c r="S20" i="1"/>
  <c r="K20" i="1"/>
  <c r="V19" i="1"/>
  <c r="S19" i="1"/>
  <c r="K19" i="1"/>
  <c r="V18" i="1"/>
  <c r="S18" i="1"/>
  <c r="K18" i="1"/>
  <c r="V17" i="1"/>
  <c r="S17" i="1"/>
  <c r="K17" i="1"/>
  <c r="V16" i="1"/>
  <c r="S16" i="1"/>
  <c r="K16" i="1"/>
  <c r="V15" i="1"/>
  <c r="S15" i="1"/>
  <c r="K15" i="1"/>
  <c r="V14" i="1"/>
  <c r="S14" i="1"/>
  <c r="K14" i="1"/>
  <c r="V13" i="1"/>
  <c r="S13" i="1"/>
  <c r="K13" i="1"/>
  <c r="V12" i="1"/>
  <c r="S12" i="1"/>
  <c r="K12" i="1"/>
  <c r="V11" i="1"/>
  <c r="S11" i="1"/>
  <c r="K11" i="1"/>
  <c r="V10" i="1"/>
  <c r="S10" i="1"/>
  <c r="K10" i="1"/>
  <c r="V9" i="1"/>
  <c r="S9" i="1"/>
  <c r="K9" i="1"/>
  <c r="V8" i="1"/>
  <c r="S8" i="1"/>
  <c r="K8" i="1"/>
  <c r="V7" i="1"/>
  <c r="S7" i="1"/>
  <c r="K7" i="1"/>
  <c r="V6" i="1"/>
  <c r="S6" i="1"/>
  <c r="K6" i="1"/>
  <c r="V5" i="1"/>
  <c r="S5" i="1"/>
  <c r="K5" i="1"/>
  <c r="V4" i="1"/>
  <c r="S4" i="1"/>
  <c r="K4" i="1"/>
  <c r="V3" i="1"/>
  <c r="S3" i="1"/>
  <c r="K3" i="1"/>
  <c r="V2" i="1"/>
  <c r="S2" i="1"/>
  <c r="K2" i="1"/>
</calcChain>
</file>

<file path=xl/sharedStrings.xml><?xml version="1.0" encoding="utf-8"?>
<sst xmlns="http://schemas.openxmlformats.org/spreadsheetml/2006/main" count="390" uniqueCount="226">
  <si>
    <t>Cage</t>
  </si>
  <si>
    <t>Animal Number</t>
  </si>
  <si>
    <t>Blood Draw Number</t>
  </si>
  <si>
    <t>Weight @ Blood Draw</t>
  </si>
  <si>
    <t>Weight @ FED</t>
  </si>
  <si>
    <t>Chow Weight @ Start</t>
  </si>
  <si>
    <t>Fed Number</t>
  </si>
  <si>
    <t>Bandit 100 D1 Pellets</t>
  </si>
  <si>
    <t>Bandit 100 D2 Pellets</t>
  </si>
  <si>
    <t>Food weight 11/5</t>
  </si>
  <si>
    <t>Δ Food Weight 11/5</t>
  </si>
  <si>
    <t>New Food weight 11/5</t>
  </si>
  <si>
    <t>Animal Weight 11/5</t>
  </si>
  <si>
    <t>Bandit 100 D3 Pellets</t>
  </si>
  <si>
    <t>FR1 D1 Pellets</t>
  </si>
  <si>
    <t>Animal Weight 11/07</t>
  </si>
  <si>
    <t>Food Weight 11/08</t>
  </si>
  <si>
    <t>New food Weight</t>
  </si>
  <si>
    <t>Δ Food Weight 11/7</t>
  </si>
  <si>
    <t>Animal Weight</t>
  </si>
  <si>
    <t>Food Weight 11/10</t>
  </si>
  <si>
    <t>Δ Food Weight 11/10</t>
  </si>
  <si>
    <t>Bandit 80 D1 Pellets</t>
  </si>
  <si>
    <t>Bandit 80 D2 Pellets</t>
  </si>
  <si>
    <t>Food Weight 11/12</t>
  </si>
  <si>
    <t>New Food Weight</t>
  </si>
  <si>
    <t>PR1 Pellets D1</t>
  </si>
  <si>
    <t>PR1 Pellets D2</t>
  </si>
  <si>
    <t>Food Weight 11/14</t>
  </si>
  <si>
    <t>39.2</t>
  </si>
  <si>
    <t>Jam</t>
  </si>
  <si>
    <t>39.5</t>
  </si>
  <si>
    <t>39.4</t>
  </si>
  <si>
    <t>39.3</t>
  </si>
  <si>
    <t>39.1</t>
  </si>
  <si>
    <t>40.2</t>
  </si>
  <si>
    <t>40.5</t>
  </si>
  <si>
    <t>40.4</t>
  </si>
  <si>
    <t>40.1</t>
  </si>
  <si>
    <t>40.3</t>
  </si>
  <si>
    <t>41.4</t>
  </si>
  <si>
    <t>41.1</t>
  </si>
  <si>
    <t>41.2</t>
  </si>
  <si>
    <t>41.3</t>
  </si>
  <si>
    <t>41.5</t>
  </si>
  <si>
    <t>42.4</t>
  </si>
  <si>
    <t>--</t>
  </si>
  <si>
    <t>42.2</t>
  </si>
  <si>
    <t>42.5</t>
  </si>
  <si>
    <t>42.1</t>
  </si>
  <si>
    <t>42.3</t>
  </si>
  <si>
    <t>Chow</t>
  </si>
  <si>
    <t>Weight Change</t>
  </si>
  <si>
    <t>Daily Weight Gain on FED</t>
  </si>
  <si>
    <t>Fed+Beam Weight Change</t>
  </si>
  <si>
    <t>Weight Change 1D HFD</t>
  </si>
  <si>
    <t>Weight Change 1W HFD</t>
  </si>
  <si>
    <t>Weight Change 2W HFD</t>
  </si>
  <si>
    <t>On Fed with Choco Pellets</t>
  </si>
  <si>
    <t>Ad Libitum Choco</t>
  </si>
  <si>
    <t>After 1 Day on HFD</t>
  </si>
  <si>
    <t>Bandit100</t>
  </si>
  <si>
    <t>FR1</t>
  </si>
  <si>
    <t>Weekend FreeFeed</t>
  </si>
  <si>
    <t>Bandit 80</t>
  </si>
  <si>
    <t>PR1</t>
  </si>
  <si>
    <t>Δ Weight 11/5/2025</t>
  </si>
  <si>
    <t>Δ Weight 11/7/2025</t>
  </si>
  <si>
    <t>Δ Weight 11/10/2025</t>
  </si>
  <si>
    <t>Δ Weight 11/12/2025</t>
  </si>
  <si>
    <t>Δ Weight 11/14/2025</t>
  </si>
  <si>
    <t>Total Food Eaten</t>
  </si>
  <si>
    <t>Daily Food</t>
  </si>
  <si>
    <t>HFD Tracker</t>
  </si>
  <si>
    <t>1Hr HFD Δ</t>
  </si>
  <si>
    <t>New food Weight 11/08</t>
  </si>
  <si>
    <t>New Food Weight 11/12</t>
  </si>
  <si>
    <t>Daily Weight Change</t>
  </si>
  <si>
    <t>Total pellets eaten</t>
  </si>
  <si>
    <t>Daily Pellets</t>
  </si>
  <si>
    <t>Choco</t>
  </si>
  <si>
    <t>Initial</t>
  </si>
  <si>
    <t>Post Fed</t>
  </si>
  <si>
    <t>Cage #</t>
  </si>
  <si>
    <t>Choco Eaten</t>
  </si>
  <si>
    <t>Chow Eaten</t>
  </si>
  <si>
    <t>Pref Index</t>
  </si>
  <si>
    <t>Weight Change 24hr HFD</t>
  </si>
  <si>
    <t>Initial Pref Test Choco</t>
  </si>
  <si>
    <t>Initial Pref Test Chow</t>
  </si>
  <si>
    <t>Initial Pref Index</t>
  </si>
  <si>
    <t>Post FED Test Choco</t>
  </si>
  <si>
    <t>Post FED Test Chow</t>
  </si>
  <si>
    <t>Post FED Index</t>
  </si>
  <si>
    <t>Daily Chow Consumption</t>
  </si>
  <si>
    <t>24hr HFD Consumption</t>
  </si>
  <si>
    <t>Win-stay_Bandit100</t>
  </si>
  <si>
    <t>Lose-shift_Bandit100</t>
  </si>
  <si>
    <t>PeakAccuracy_Bandit100</t>
  </si>
  <si>
    <t>Total_pellets_Bandit100</t>
  </si>
  <si>
    <t>Total_pokes_Bandit100</t>
  </si>
  <si>
    <t>PokesPerPellet_Bandit100</t>
  </si>
  <si>
    <t>RetrievalTime_Bandit100</t>
  </si>
  <si>
    <t>PokeTime_Bandit100</t>
  </si>
  <si>
    <t>daily pellets_Bandit100</t>
  </si>
  <si>
    <t>Win-stay_Day_Bandit100</t>
  </si>
  <si>
    <t>Win-stay_Night_Bandit100</t>
  </si>
  <si>
    <t>Lose-shift_Day_Bandit100</t>
  </si>
  <si>
    <t>Lose-shift_Night_Bandit100</t>
  </si>
  <si>
    <t>PeakAccuracy_Day_Bandit100</t>
  </si>
  <si>
    <t>PeakAccuracy_Night_Bandit100</t>
  </si>
  <si>
    <t>Win-stay_Bandit80</t>
  </si>
  <si>
    <t>Lose-shift_Bandit80</t>
  </si>
  <si>
    <t>PeakAccuracy_Bandit80</t>
  </si>
  <si>
    <t>Total_pellets_Bandit80</t>
  </si>
  <si>
    <t>Total_pokes_Bandit80</t>
  </si>
  <si>
    <t>PokesPerPellet_Bandit80</t>
  </si>
  <si>
    <t>RetrievalTime_Bandit80</t>
  </si>
  <si>
    <t>PokeTime_Bandit80</t>
  </si>
  <si>
    <t>daily pellets_Bandit80</t>
  </si>
  <si>
    <t>Win-stay_Day_Bandit80</t>
  </si>
  <si>
    <t>Win-stay_Night_Bandit80</t>
  </si>
  <si>
    <t>Lose-shift_Day_Bandit80</t>
  </si>
  <si>
    <t>Lose-shift_Night_Bandit80</t>
  </si>
  <si>
    <t>PeakAccuracy_Day_Bandit80</t>
  </si>
  <si>
    <t>PeakAccuracy_Night_Bandit80</t>
  </si>
  <si>
    <t>Pellets_FR1</t>
  </si>
  <si>
    <t>Left_Poke_FR1</t>
  </si>
  <si>
    <t>Right_Poke_FR1</t>
  </si>
  <si>
    <t>Total_Pokes_FR1</t>
  </si>
  <si>
    <t>Accuracy_FR1</t>
  </si>
  <si>
    <t>PokesPerPellet_FR1</t>
  </si>
  <si>
    <t>RetrievalTime_FR1</t>
  </si>
  <si>
    <t>InterPelletInterval_FR1</t>
  </si>
  <si>
    <t>PokeTime_FR1</t>
  </si>
  <si>
    <t>%MealPellets_FR1</t>
  </si>
  <si>
    <t>%GrazingPellets_FR1</t>
  </si>
  <si>
    <t>NumMeals_FR1</t>
  </si>
  <si>
    <t>AvgMealSize_FR1</t>
  </si>
  <si>
    <t>AvgMealDuration_FR1</t>
  </si>
  <si>
    <t>RecordingHours_FR1</t>
  </si>
  <si>
    <t>MealsPerHour_FR1</t>
  </si>
  <si>
    <t>Daily_Pellets_FR1</t>
  </si>
  <si>
    <t>Left Poke with Pellet_FR1</t>
  </si>
  <si>
    <t>Within_meal_pellet_rate_FR1</t>
  </si>
  <si>
    <t>%MealPellets_Day_FR1</t>
  </si>
  <si>
    <t>%GrazingPellets_Day_FR1</t>
  </si>
  <si>
    <t>Pellets_Day_FR1</t>
  </si>
  <si>
    <t>NumMeals_Day_FR1</t>
  </si>
  <si>
    <t>AvgMealSize_Day_FR1</t>
  </si>
  <si>
    <t>AvgMealDuration_Day_FR1</t>
  </si>
  <si>
    <t>MealsPerHour_Day_FR1</t>
  </si>
  <si>
    <t>Accuracy_Day_FR1</t>
  </si>
  <si>
    <t>%MealPellets_Night_FR1</t>
  </si>
  <si>
    <t>%GrazingPellets_Night_FR1</t>
  </si>
  <si>
    <t>Pellets_Night_FR1</t>
  </si>
  <si>
    <t>NumMeals_Night_FR1</t>
  </si>
  <si>
    <t>AvgMealSize_Night_FR1</t>
  </si>
  <si>
    <t>AvgMealDuration_Night_FR1</t>
  </si>
  <si>
    <t>MealsPerHour_Night_FR1</t>
  </si>
  <si>
    <t>Accuracy_Night_FR1</t>
  </si>
  <si>
    <t>Left_Poke_PR1</t>
  </si>
  <si>
    <t>Right_Poke_PR1</t>
  </si>
  <si>
    <t>Total_Pokes_PR1</t>
  </si>
  <si>
    <t>Accuracy_PR1</t>
  </si>
  <si>
    <t>PokesPerPellet_PR1</t>
  </si>
  <si>
    <t>MedianBreakPoint_PR1</t>
  </si>
  <si>
    <t>Numberofblocks_PR1</t>
  </si>
  <si>
    <t>daily pellets_PR1</t>
  </si>
  <si>
    <t>Demand_Q0_raw_PR1</t>
  </si>
  <si>
    <t>Demand_alpha_raw_PR1</t>
  </si>
  <si>
    <t>Demand_beta_raw_PR1</t>
  </si>
  <si>
    <t>Demand_alpha_FR_PR1</t>
  </si>
  <si>
    <t>Demand_beta_FR_PR1</t>
  </si>
  <si>
    <t>Mouse_ID</t>
  </si>
  <si>
    <t>Task</t>
  </si>
  <si>
    <t>Starting Weight</t>
  </si>
  <si>
    <t>Total % Weight Change</t>
  </si>
  <si>
    <t>Total Weight Gain</t>
  </si>
  <si>
    <t>MESOR_z</t>
  </si>
  <si>
    <t>Amplitude_z</t>
  </si>
  <si>
    <t>Acrophase_ZT_signed</t>
  </si>
  <si>
    <t>Cosinor_R2</t>
  </si>
  <si>
    <t>Night_z</t>
  </si>
  <si>
    <t>Day_z</t>
  </si>
  <si>
    <t>Mean_activity</t>
  </si>
  <si>
    <t>ChocoHFD_01</t>
  </si>
  <si>
    <t>ChocoHFD_02</t>
  </si>
  <si>
    <t>ChocoHFD_03</t>
  </si>
  <si>
    <t>ChocoHFD_04</t>
  </si>
  <si>
    <t>ChocoHFD_05</t>
  </si>
  <si>
    <t>ChocoHFD_06</t>
  </si>
  <si>
    <t>ChocoHFD_07</t>
  </si>
  <si>
    <t>ChocoHFD_08</t>
  </si>
  <si>
    <t>ChocoHFD_09</t>
  </si>
  <si>
    <t>ChocoHFD_10</t>
  </si>
  <si>
    <t>ChocoHFD_11</t>
  </si>
  <si>
    <t>ChocoHFD_12</t>
  </si>
  <si>
    <t>ChocoHFD_13</t>
  </si>
  <si>
    <t>ChocoHFD_14</t>
  </si>
  <si>
    <t>ChocoHFD_15</t>
  </si>
  <si>
    <t>ChocoHFD_16</t>
  </si>
  <si>
    <t>ChocoHFD_17</t>
  </si>
  <si>
    <t>ChocoHFD_18</t>
  </si>
  <si>
    <t>ChocoHFD_19</t>
  </si>
  <si>
    <t>ChocoHFD_20</t>
  </si>
  <si>
    <t>ChowHFD_670</t>
  </si>
  <si>
    <t>ChowHFD_671</t>
  </si>
  <si>
    <t>ChowHFD_672</t>
  </si>
  <si>
    <t>ChowHFD_673</t>
  </si>
  <si>
    <t>ChowHFD_674</t>
  </si>
  <si>
    <t>ChowHFD_177</t>
  </si>
  <si>
    <t>ChowHFD_178</t>
  </si>
  <si>
    <t>ChowHFD_179</t>
  </si>
  <si>
    <t>ChowHFD_180</t>
  </si>
  <si>
    <t>ChowHFD_181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</si>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</sst>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48A4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EF567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2" fillId="0" borderId="0" xfId="0" applyFont="1"/>
    <xf numFmtId="14" fontId="3" fillId="0" borderId="0" xfId="0" applyNumberFormat="1" applyFont="1"/>
    <xf numFmtId="14" fontId="3" fillId="5" borderId="0" xfId="0" applyNumberFormat="1" applyFont="1" applyFill="1"/>
    <xf numFmtId="164" fontId="3" fillId="0" borderId="0" xfId="0" applyNumberFormat="1" applyFont="1"/>
    <xf numFmtId="0" fontId="3" fillId="5" borderId="0" xfId="0" applyFont="1" applyFill="1"/>
    <xf numFmtId="0" fontId="1" fillId="6" borderId="0" xfId="0" applyFont="1" applyFill="1"/>
    <xf numFmtId="0" fontId="3" fillId="6" borderId="0" xfId="0" applyFont="1" applyFill="1"/>
    <xf numFmtId="2" fontId="3" fillId="2" borderId="0" xfId="0" applyNumberFormat="1" applyFont="1" applyFill="1"/>
    <xf numFmtId="0" fontId="3" fillId="7" borderId="0" xfId="0" applyFont="1" applyFill="1"/>
    <xf numFmtId="0" fontId="4" fillId="0" borderId="0" xfId="0" applyFont="1" applyAlignment="1">
      <alignment horizontal="right"/>
    </xf>
    <xf numFmtId="2" fontId="3" fillId="0" borderId="0" xfId="0" applyNumberFormat="1" applyFont="1"/>
    <xf numFmtId="0" fontId="3" fillId="0" borderId="0" xfId="0" applyFont="1" applyFill="1"/>
    <xf numFmtId="0" fontId="0" fillId="0" borderId="0" xfId="0" applyFill="1"/>
    <xf numFmtId="0" fontId="5" fillId="0" borderId="0" xfId="0" applyFont="1" applyBorder="1" applyAlignment="1"/>
    <xf numFmtId="0" fontId="6" fillId="0" borderId="0" xfId="0" applyFont="1" applyBorder="1" applyAlignment="1"/>
    <xf numFmtId="0" fontId="6" fillId="8" borderId="0" xfId="0" applyFont="1" applyFill="1" applyBorder="1" applyAlignment="1"/>
    <xf numFmtId="0" fontId="6" fillId="9" borderId="0" xfId="0" applyFont="1" applyFill="1" applyBorder="1" applyAlignment="1"/>
    <xf numFmtId="0" fontId="6" fillId="10" borderId="0" xfId="0" applyFont="1" applyFill="1" applyBorder="1" applyAlignment="1"/>
    <xf numFmtId="0" fontId="6" fillId="11" borderId="0" xfId="0" applyFont="1" applyFill="1" applyBorder="1" applyAlignment="1"/>
    <xf numFmtId="0" fontId="6" fillId="12" borderId="0" xfId="0" applyFont="1" applyFill="1" applyBorder="1" applyAlignment="1"/>
    <xf numFmtId="0" fontId="6" fillId="13" borderId="0" xfId="0" applyFont="1" applyFill="1" applyBorder="1" applyAlignment="1"/>
    <xf numFmtId="0" fontId="6" fillId="14" borderId="0" xfId="0" applyFont="1" applyFill="1" applyBorder="1" applyAlignment="1"/>
    <xf numFmtId="0" fontId="6" fillId="0" borderId="0" xfId="0" applyFont="1" applyBorder="1" applyAlignment="1">
      <alignment horizontal="right"/>
    </xf>
    <xf numFmtId="0" fontId="6" fillId="15" borderId="0" xfId="0" applyFont="1" applyFill="1" applyBorder="1" applyAlignment="1">
      <alignment horizontal="right"/>
    </xf>
    <xf numFmtId="10" fontId="6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/>
    <xf numFmtId="0" fontId="7" fillId="16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28C7-6472-4A9B-93DC-DCBE107FF2C0}">
  <dimension ref="A1:CV41"/>
  <sheetViews>
    <sheetView tabSelected="1" workbookViewId="0">
      <selection activeCell="L26" sqref="L26"/>
    </sheetView>
  </sheetViews>
  <sheetFormatPr defaultRowHeight="12.75" x14ac:dyDescent="0.2"/>
  <sheetData>
    <row r="1" spans="1:100" x14ac:dyDescent="0.2">
      <c r="A1" s="23" t="s">
        <v>0</v>
      </c>
      <c r="B1" s="24" t="s">
        <v>174</v>
      </c>
      <c r="C1" s="25" t="s">
        <v>175</v>
      </c>
      <c r="D1" s="25" t="s">
        <v>176</v>
      </c>
      <c r="E1" s="25" t="s">
        <v>87</v>
      </c>
      <c r="F1" s="25" t="s">
        <v>94</v>
      </c>
      <c r="G1" s="25" t="s">
        <v>95</v>
      </c>
      <c r="H1" s="25" t="s">
        <v>74</v>
      </c>
      <c r="I1" s="25" t="s">
        <v>177</v>
      </c>
      <c r="J1" s="25" t="s">
        <v>178</v>
      </c>
      <c r="K1" s="26" t="s">
        <v>88</v>
      </c>
      <c r="L1" s="26" t="s">
        <v>89</v>
      </c>
      <c r="M1" s="26" t="s">
        <v>90</v>
      </c>
      <c r="N1" s="26" t="s">
        <v>91</v>
      </c>
      <c r="O1" s="26" t="s">
        <v>92</v>
      </c>
      <c r="P1" s="26" t="s">
        <v>93</v>
      </c>
      <c r="Q1" s="27" t="s">
        <v>96</v>
      </c>
      <c r="R1" s="27" t="s">
        <v>97</v>
      </c>
      <c r="S1" s="27" t="s">
        <v>98</v>
      </c>
      <c r="T1" s="27" t="s">
        <v>99</v>
      </c>
      <c r="U1" s="27" t="s">
        <v>100</v>
      </c>
      <c r="V1" s="27" t="s">
        <v>101</v>
      </c>
      <c r="W1" s="27" t="s">
        <v>102</v>
      </c>
      <c r="X1" s="27" t="s">
        <v>103</v>
      </c>
      <c r="Y1" s="27" t="s">
        <v>104</v>
      </c>
      <c r="Z1" s="27" t="s">
        <v>105</v>
      </c>
      <c r="AA1" s="27" t="s">
        <v>106</v>
      </c>
      <c r="AB1" s="27" t="s">
        <v>107</v>
      </c>
      <c r="AC1" s="27" t="s">
        <v>108</v>
      </c>
      <c r="AD1" s="27" t="s">
        <v>109</v>
      </c>
      <c r="AE1" s="27" t="s">
        <v>110</v>
      </c>
      <c r="AF1" s="28" t="s">
        <v>111</v>
      </c>
      <c r="AG1" s="28" t="s">
        <v>112</v>
      </c>
      <c r="AH1" s="28" t="s">
        <v>113</v>
      </c>
      <c r="AI1" s="28" t="s">
        <v>114</v>
      </c>
      <c r="AJ1" s="28" t="s">
        <v>115</v>
      </c>
      <c r="AK1" s="28" t="s">
        <v>116</v>
      </c>
      <c r="AL1" s="28" t="s">
        <v>117</v>
      </c>
      <c r="AM1" s="28" t="s">
        <v>118</v>
      </c>
      <c r="AN1" s="28" t="s">
        <v>119</v>
      </c>
      <c r="AO1" s="28" t="s">
        <v>120</v>
      </c>
      <c r="AP1" s="28" t="s">
        <v>121</v>
      </c>
      <c r="AQ1" s="28" t="s">
        <v>122</v>
      </c>
      <c r="AR1" s="28" t="s">
        <v>123</v>
      </c>
      <c r="AS1" s="28" t="s">
        <v>124</v>
      </c>
      <c r="AT1" s="28" t="s">
        <v>125</v>
      </c>
      <c r="AU1" s="29" t="s">
        <v>126</v>
      </c>
      <c r="AV1" s="29" t="s">
        <v>127</v>
      </c>
      <c r="AW1" s="29" t="s">
        <v>128</v>
      </c>
      <c r="AX1" s="29" t="s">
        <v>129</v>
      </c>
      <c r="AY1" s="29" t="s">
        <v>130</v>
      </c>
      <c r="AZ1" s="29" t="s">
        <v>131</v>
      </c>
      <c r="BA1" s="29" t="s">
        <v>132</v>
      </c>
      <c r="BB1" s="29" t="s">
        <v>133</v>
      </c>
      <c r="BC1" s="29" t="s">
        <v>134</v>
      </c>
      <c r="BD1" s="29" t="s">
        <v>135</v>
      </c>
      <c r="BE1" s="29" t="s">
        <v>136</v>
      </c>
      <c r="BF1" s="29" t="s">
        <v>137</v>
      </c>
      <c r="BG1" s="29" t="s">
        <v>138</v>
      </c>
      <c r="BH1" s="29" t="s">
        <v>139</v>
      </c>
      <c r="BI1" s="29" t="s">
        <v>141</v>
      </c>
      <c r="BJ1" s="29" t="s">
        <v>142</v>
      </c>
      <c r="BK1" s="29" t="s">
        <v>143</v>
      </c>
      <c r="BL1" s="29" t="s">
        <v>144</v>
      </c>
      <c r="BM1" s="29" t="s">
        <v>145</v>
      </c>
      <c r="BN1" s="29" t="s">
        <v>146</v>
      </c>
      <c r="BO1" s="29" t="s">
        <v>147</v>
      </c>
      <c r="BP1" s="29" t="s">
        <v>148</v>
      </c>
      <c r="BQ1" s="29" t="s">
        <v>149</v>
      </c>
      <c r="BR1" s="29" t="s">
        <v>150</v>
      </c>
      <c r="BS1" s="29" t="s">
        <v>151</v>
      </c>
      <c r="BT1" s="29" t="s">
        <v>152</v>
      </c>
      <c r="BU1" s="29" t="s">
        <v>153</v>
      </c>
      <c r="BV1" s="29" t="s">
        <v>154</v>
      </c>
      <c r="BW1" s="29" t="s">
        <v>155</v>
      </c>
      <c r="BX1" s="29" t="s">
        <v>156</v>
      </c>
      <c r="BY1" s="29" t="s">
        <v>157</v>
      </c>
      <c r="BZ1" s="29" t="s">
        <v>158</v>
      </c>
      <c r="CA1" s="29" t="s">
        <v>159</v>
      </c>
      <c r="CB1" s="29" t="s">
        <v>160</v>
      </c>
      <c r="CC1" s="30" t="s">
        <v>161</v>
      </c>
      <c r="CD1" s="30" t="s">
        <v>162</v>
      </c>
      <c r="CE1" s="30" t="s">
        <v>163</v>
      </c>
      <c r="CF1" s="30" t="s">
        <v>164</v>
      </c>
      <c r="CG1" s="30" t="s">
        <v>165</v>
      </c>
      <c r="CH1" s="30" t="s">
        <v>166</v>
      </c>
      <c r="CI1" s="30" t="s">
        <v>167</v>
      </c>
      <c r="CJ1" s="30" t="s">
        <v>168</v>
      </c>
      <c r="CK1" s="30" t="s">
        <v>169</v>
      </c>
      <c r="CL1" s="30" t="s">
        <v>170</v>
      </c>
      <c r="CM1" s="30" t="s">
        <v>171</v>
      </c>
      <c r="CN1" s="30" t="s">
        <v>172</v>
      </c>
      <c r="CO1" s="30" t="s">
        <v>173</v>
      </c>
      <c r="CP1" s="31" t="s">
        <v>179</v>
      </c>
      <c r="CQ1" s="31" t="s">
        <v>180</v>
      </c>
      <c r="CR1" s="31" t="s">
        <v>181</v>
      </c>
      <c r="CS1" s="31" t="s">
        <v>182</v>
      </c>
      <c r="CT1" s="31" t="s">
        <v>183</v>
      </c>
      <c r="CU1" s="31" t="s">
        <v>184</v>
      </c>
      <c r="CV1" s="31" t="s">
        <v>185</v>
      </c>
    </row>
    <row r="2" spans="1:100" x14ac:dyDescent="0.2">
      <c r="A2" s="24">
        <v>1</v>
      </c>
      <c r="B2" s="24" t="s">
        <v>186</v>
      </c>
      <c r="C2" s="24" t="s">
        <v>80</v>
      </c>
      <c r="D2" s="32">
        <v>26.62</v>
      </c>
      <c r="E2" s="32">
        <v>0.44</v>
      </c>
      <c r="F2" s="32">
        <v>1.28</v>
      </c>
      <c r="G2" s="33">
        <v>0.43</v>
      </c>
      <c r="H2" s="24"/>
      <c r="I2" s="34">
        <v>0.34399999999999997</v>
      </c>
      <c r="J2" s="32">
        <v>9.98</v>
      </c>
      <c r="K2" s="32">
        <v>3</v>
      </c>
      <c r="L2" s="32">
        <v>2</v>
      </c>
      <c r="M2" s="32">
        <v>0.2</v>
      </c>
      <c r="N2" s="32">
        <v>1</v>
      </c>
      <c r="O2" s="32">
        <v>3</v>
      </c>
      <c r="P2" s="32">
        <v>-0.5</v>
      </c>
      <c r="Q2" s="32">
        <v>0.66542750900000003</v>
      </c>
      <c r="R2" s="32">
        <v>0.407407407</v>
      </c>
      <c r="S2" s="32">
        <v>0.69374999999999998</v>
      </c>
      <c r="T2" s="32">
        <v>341</v>
      </c>
      <c r="U2" s="32">
        <v>647</v>
      </c>
      <c r="V2" s="32">
        <v>1.897360704</v>
      </c>
      <c r="W2" s="32">
        <v>1.07</v>
      </c>
      <c r="X2" s="32">
        <v>0.125</v>
      </c>
      <c r="Y2" s="32">
        <v>121.6480585</v>
      </c>
      <c r="Z2" s="32">
        <v>0.70588235300000002</v>
      </c>
      <c r="AA2" s="32">
        <v>0.65174129400000003</v>
      </c>
      <c r="AB2" s="32">
        <v>0.25</v>
      </c>
      <c r="AC2" s="32">
        <v>0.424657534</v>
      </c>
      <c r="AD2" s="32">
        <v>0.85</v>
      </c>
      <c r="AE2" s="32">
        <v>0.62857142899999996</v>
      </c>
      <c r="AF2" s="32">
        <v>0.81884058000000004</v>
      </c>
      <c r="AG2" s="32">
        <v>0.5</v>
      </c>
      <c r="AH2" s="32">
        <v>0.53333333299999997</v>
      </c>
      <c r="AI2" s="32">
        <v>199</v>
      </c>
      <c r="AJ2" s="32">
        <v>372</v>
      </c>
      <c r="AK2" s="32">
        <v>1.8693467340000001</v>
      </c>
      <c r="AL2" s="32">
        <v>0.41</v>
      </c>
      <c r="AM2" s="32">
        <v>0.12</v>
      </c>
      <c r="AN2" s="32">
        <v>107.7050289</v>
      </c>
      <c r="AO2" s="32">
        <v>0.78571428600000004</v>
      </c>
      <c r="AP2" s="32">
        <v>0.82727272699999999</v>
      </c>
      <c r="AQ2" s="32">
        <v>0.66666666699999999</v>
      </c>
      <c r="AR2" s="32">
        <v>0.46428571400000002</v>
      </c>
      <c r="AS2" s="32">
        <v>0.3</v>
      </c>
      <c r="AT2" s="32">
        <v>0.54444444400000003</v>
      </c>
      <c r="AU2" s="32">
        <v>153</v>
      </c>
      <c r="AV2" s="32">
        <v>153</v>
      </c>
      <c r="AW2" s="32">
        <v>41</v>
      </c>
      <c r="AX2" s="32">
        <v>194</v>
      </c>
      <c r="AY2" s="32">
        <v>78.865979379999999</v>
      </c>
      <c r="AZ2" s="32">
        <v>1.267973856</v>
      </c>
      <c r="BA2" s="32">
        <v>0.59</v>
      </c>
      <c r="BB2" s="32">
        <v>23</v>
      </c>
      <c r="BC2" s="32">
        <v>0.09</v>
      </c>
      <c r="BD2" s="32">
        <v>77.124183009999996</v>
      </c>
      <c r="BE2" s="32">
        <v>22.875816990000001</v>
      </c>
      <c r="BF2" s="32">
        <v>22</v>
      </c>
      <c r="BG2" s="32">
        <v>5.3636363640000004</v>
      </c>
      <c r="BH2" s="32">
        <v>86.409090910000003</v>
      </c>
      <c r="BI2" s="32">
        <v>1.002696646</v>
      </c>
      <c r="BJ2" s="32">
        <v>167.3549482</v>
      </c>
      <c r="BK2" s="32">
        <v>2</v>
      </c>
      <c r="BL2" s="32">
        <v>18.68180138</v>
      </c>
      <c r="BM2" s="32">
        <v>92.307692309999993</v>
      </c>
      <c r="BN2" s="32">
        <v>7.692307692</v>
      </c>
      <c r="BO2" s="32">
        <v>39</v>
      </c>
      <c r="BP2" s="32">
        <v>7</v>
      </c>
      <c r="BQ2" s="32">
        <v>5.1428571429999996</v>
      </c>
      <c r="BR2" s="32">
        <v>93.714285709999999</v>
      </c>
      <c r="BS2" s="32">
        <v>0.31903984200000002</v>
      </c>
      <c r="BT2" s="32">
        <v>76.470588239999998</v>
      </c>
      <c r="BU2" s="32">
        <v>71.92982456</v>
      </c>
      <c r="BV2" s="32">
        <v>28.07017544</v>
      </c>
      <c r="BW2" s="32">
        <v>114</v>
      </c>
      <c r="BX2" s="32">
        <v>15</v>
      </c>
      <c r="BY2" s="32">
        <v>5.4666666670000001</v>
      </c>
      <c r="BZ2" s="32">
        <v>83</v>
      </c>
      <c r="CA2" s="32">
        <v>1.3502362910000001</v>
      </c>
      <c r="CB2" s="32">
        <v>79.720279719999994</v>
      </c>
      <c r="CC2" s="32">
        <v>550</v>
      </c>
      <c r="CD2" s="32">
        <v>143</v>
      </c>
      <c r="CE2" s="32">
        <v>693</v>
      </c>
      <c r="CF2" s="32">
        <v>79.365079370000004</v>
      </c>
      <c r="CG2" s="32">
        <v>6.663461538</v>
      </c>
      <c r="CH2" s="32">
        <v>6</v>
      </c>
      <c r="CI2" s="32">
        <v>16</v>
      </c>
      <c r="CJ2" s="32">
        <v>55.437237019999998</v>
      </c>
      <c r="CK2" s="32">
        <v>16.345897749999999</v>
      </c>
      <c r="CL2" s="32">
        <v>6.0348238189999996</v>
      </c>
      <c r="CM2" s="32">
        <v>2.1708622069999999</v>
      </c>
      <c r="CN2" s="32">
        <v>5.7284462869999997</v>
      </c>
      <c r="CO2" s="32">
        <v>2.0274168769999998</v>
      </c>
      <c r="CP2" s="32">
        <v>5.5539897999999997E-2</v>
      </c>
      <c r="CQ2" s="32">
        <v>1.476572523</v>
      </c>
      <c r="CR2" s="32">
        <v>5.812885541</v>
      </c>
      <c r="CS2" s="32">
        <v>0.49468620299999999</v>
      </c>
      <c r="CT2" s="32">
        <v>0.66494598100000002</v>
      </c>
      <c r="CU2" s="32">
        <v>-0.55310974999999996</v>
      </c>
      <c r="CV2" s="32">
        <v>0.10110139899999999</v>
      </c>
    </row>
    <row r="3" spans="1:100" x14ac:dyDescent="0.2">
      <c r="A3" s="24">
        <v>2</v>
      </c>
      <c r="B3" s="24" t="s">
        <v>187</v>
      </c>
      <c r="C3" s="24" t="s">
        <v>80</v>
      </c>
      <c r="D3" s="32">
        <v>26.23</v>
      </c>
      <c r="E3" s="32">
        <v>0.92</v>
      </c>
      <c r="F3" s="32">
        <v>0.84</v>
      </c>
      <c r="G3" s="33">
        <v>0.38</v>
      </c>
      <c r="H3" s="24"/>
      <c r="I3" s="34">
        <v>0.30130000000000001</v>
      </c>
      <c r="J3" s="32">
        <v>8.39</v>
      </c>
      <c r="K3" s="32">
        <v>0</v>
      </c>
      <c r="L3" s="32">
        <v>5</v>
      </c>
      <c r="M3" s="32">
        <v>-1</v>
      </c>
      <c r="N3" s="32">
        <v>2</v>
      </c>
      <c r="O3" s="32">
        <v>3</v>
      </c>
      <c r="P3" s="32">
        <v>-0.2</v>
      </c>
      <c r="Q3" s="32">
        <v>0.54347826099999996</v>
      </c>
      <c r="R3" s="32">
        <v>0.48936170200000001</v>
      </c>
      <c r="S3" s="32">
        <v>0.69</v>
      </c>
      <c r="T3" s="32">
        <v>222</v>
      </c>
      <c r="U3" s="32">
        <v>458</v>
      </c>
      <c r="V3" s="32">
        <v>2.063063063</v>
      </c>
      <c r="W3" s="32">
        <v>2.75</v>
      </c>
      <c r="X3" s="32">
        <v>0.2</v>
      </c>
      <c r="Y3" s="32">
        <v>75.324869129999996</v>
      </c>
      <c r="Z3" s="32">
        <v>0.4</v>
      </c>
      <c r="AA3" s="32">
        <v>0.56097560999999996</v>
      </c>
      <c r="AB3" s="32">
        <v>0.66666666699999999</v>
      </c>
      <c r="AC3" s="32">
        <v>0.47727272700000001</v>
      </c>
      <c r="AD3" s="32">
        <v>0.65</v>
      </c>
      <c r="AE3" s="32">
        <v>0.7</v>
      </c>
      <c r="AF3" s="32">
        <v>0.70068027200000005</v>
      </c>
      <c r="AG3" s="32">
        <v>0.35135135099999998</v>
      </c>
      <c r="AH3" s="32">
        <v>0.57999999999999996</v>
      </c>
      <c r="AI3" s="32">
        <v>210</v>
      </c>
      <c r="AJ3" s="32">
        <v>412</v>
      </c>
      <c r="AK3" s="32">
        <v>1.9619047620000001</v>
      </c>
      <c r="AL3" s="32">
        <v>0.47</v>
      </c>
      <c r="AM3" s="32">
        <v>0.22</v>
      </c>
      <c r="AN3" s="32">
        <v>109.7192381</v>
      </c>
      <c r="AO3" s="32">
        <v>0.77777777800000003</v>
      </c>
      <c r="AP3" s="32">
        <v>0.675675676</v>
      </c>
      <c r="AQ3" s="32">
        <v>0.66666666699999999</v>
      </c>
      <c r="AR3" s="32">
        <v>0.29032258100000002</v>
      </c>
      <c r="AS3" s="32">
        <v>0.75</v>
      </c>
      <c r="AT3" s="32">
        <v>0.53333333299999997</v>
      </c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32">
        <v>906</v>
      </c>
      <c r="CD3" s="32">
        <v>503</v>
      </c>
      <c r="CE3" s="32">
        <v>1409</v>
      </c>
      <c r="CF3" s="32">
        <v>64.300922639999996</v>
      </c>
      <c r="CG3" s="32">
        <v>10.75572519</v>
      </c>
      <c r="CH3" s="32">
        <v>4</v>
      </c>
      <c r="CI3" s="32">
        <v>18</v>
      </c>
      <c r="CJ3" s="32">
        <v>69.603291249999998</v>
      </c>
      <c r="CK3" s="32">
        <v>21.605426619999999</v>
      </c>
      <c r="CL3" s="32">
        <v>4.2815024360000002</v>
      </c>
      <c r="CM3" s="32">
        <v>1.47016083</v>
      </c>
      <c r="CN3" s="32">
        <v>5.2439489430000004</v>
      </c>
      <c r="CO3" s="32">
        <v>1.6661428760000001</v>
      </c>
      <c r="CP3" s="32">
        <v>1.6755066999999998E-2</v>
      </c>
      <c r="CQ3" s="32">
        <v>1.074645147</v>
      </c>
      <c r="CR3" s="32">
        <v>6.581519567</v>
      </c>
      <c r="CS3" s="32">
        <v>0.260281875</v>
      </c>
      <c r="CT3" s="32">
        <v>0.400675852</v>
      </c>
      <c r="CU3" s="32">
        <v>-0.363098855</v>
      </c>
      <c r="CV3" s="32">
        <v>9.5639859999999993E-2</v>
      </c>
    </row>
    <row r="4" spans="1:100" x14ac:dyDescent="0.2">
      <c r="A4" s="24">
        <v>3</v>
      </c>
      <c r="B4" s="24" t="s">
        <v>188</v>
      </c>
      <c r="C4" s="24" t="s">
        <v>80</v>
      </c>
      <c r="D4" s="32">
        <v>27.03</v>
      </c>
      <c r="E4" s="32">
        <v>1.43</v>
      </c>
      <c r="F4" s="32">
        <v>1.22</v>
      </c>
      <c r="G4" s="33">
        <v>0.14000000000000001</v>
      </c>
      <c r="H4" s="24"/>
      <c r="I4" s="34">
        <v>0.45450000000000002</v>
      </c>
      <c r="J4" s="32">
        <v>13.74</v>
      </c>
      <c r="K4" s="32">
        <v>5</v>
      </c>
      <c r="L4" s="32">
        <v>7</v>
      </c>
      <c r="M4" s="32">
        <v>-0.17</v>
      </c>
      <c r="N4" s="32">
        <v>2</v>
      </c>
      <c r="O4" s="32">
        <v>6</v>
      </c>
      <c r="P4" s="32">
        <v>-0.5</v>
      </c>
      <c r="Q4" s="32">
        <v>0.77112676099999999</v>
      </c>
      <c r="R4" s="32">
        <v>0.39130434800000002</v>
      </c>
      <c r="S4" s="32">
        <v>0.77777777800000003</v>
      </c>
      <c r="T4" s="32">
        <v>370</v>
      </c>
      <c r="U4" s="32">
        <v>613</v>
      </c>
      <c r="V4" s="32">
        <v>1.6567567569999999</v>
      </c>
      <c r="W4" s="32">
        <v>1.07</v>
      </c>
      <c r="X4" s="32">
        <v>0.14000000000000001</v>
      </c>
      <c r="Y4" s="32">
        <v>127.3850116</v>
      </c>
      <c r="Z4" s="32">
        <v>0.80769230800000003</v>
      </c>
      <c r="AA4" s="32">
        <v>0.76293103399999995</v>
      </c>
      <c r="AB4" s="32">
        <v>0</v>
      </c>
      <c r="AC4" s="32">
        <v>0.428571429</v>
      </c>
      <c r="AD4" s="32">
        <v>0.67500000000000004</v>
      </c>
      <c r="AE4" s="32">
        <v>0.77647058800000002</v>
      </c>
      <c r="AF4" s="32">
        <v>0.91558441599999996</v>
      </c>
      <c r="AG4" s="32">
        <v>0.61538461499999997</v>
      </c>
      <c r="AH4" s="32">
        <v>0.67272727300000001</v>
      </c>
      <c r="AI4" s="32">
        <v>240</v>
      </c>
      <c r="AJ4" s="32">
        <v>418</v>
      </c>
      <c r="AK4" s="32">
        <v>1.7416666670000001</v>
      </c>
      <c r="AL4" s="32">
        <v>0.59</v>
      </c>
      <c r="AM4" s="32">
        <v>0.15</v>
      </c>
      <c r="AN4" s="32">
        <v>125.4712129</v>
      </c>
      <c r="AO4" s="32">
        <v>1</v>
      </c>
      <c r="AP4" s="32">
        <v>0.88888888899999996</v>
      </c>
      <c r="AQ4" s="32">
        <v>0.71428571399999996</v>
      </c>
      <c r="AR4" s="32">
        <v>0.57894736800000002</v>
      </c>
      <c r="AS4" s="32">
        <v>0.76666666699999997</v>
      </c>
      <c r="AT4" s="32">
        <v>0.65</v>
      </c>
      <c r="AU4" s="32">
        <v>131</v>
      </c>
      <c r="AV4" s="32">
        <v>131</v>
      </c>
      <c r="AW4" s="32">
        <v>76</v>
      </c>
      <c r="AX4" s="32">
        <v>207</v>
      </c>
      <c r="AY4" s="32">
        <v>63.285024149999998</v>
      </c>
      <c r="AZ4" s="32">
        <v>1.5801526720000001</v>
      </c>
      <c r="BA4" s="32">
        <v>0.59</v>
      </c>
      <c r="BB4" s="32">
        <v>23.5</v>
      </c>
      <c r="BC4" s="32">
        <v>0.12</v>
      </c>
      <c r="BD4" s="32">
        <v>75.572519080000006</v>
      </c>
      <c r="BE4" s="32">
        <v>24.427480920000001</v>
      </c>
      <c r="BF4" s="32">
        <v>20</v>
      </c>
      <c r="BG4" s="32">
        <v>4.95</v>
      </c>
      <c r="BH4" s="32">
        <v>70.349999999999994</v>
      </c>
      <c r="BI4" s="32">
        <v>0.97205346299999995</v>
      </c>
      <c r="BJ4" s="32">
        <v>152.72845040000001</v>
      </c>
      <c r="BK4" s="32">
        <v>3</v>
      </c>
      <c r="BL4" s="32">
        <v>13.44583233</v>
      </c>
      <c r="BM4" s="32">
        <v>71.428571430000005</v>
      </c>
      <c r="BN4" s="32">
        <v>28.571428569999998</v>
      </c>
      <c r="BO4" s="32">
        <v>28</v>
      </c>
      <c r="BP4" s="32">
        <v>4</v>
      </c>
      <c r="BQ4" s="32">
        <v>5</v>
      </c>
      <c r="BR4" s="32">
        <v>84.25</v>
      </c>
      <c r="BS4" s="32">
        <v>0.194410693</v>
      </c>
      <c r="BT4" s="32">
        <v>58.333333330000002</v>
      </c>
      <c r="BU4" s="32">
        <v>76.69902913</v>
      </c>
      <c r="BV4" s="32">
        <v>23.30097087</v>
      </c>
      <c r="BW4" s="32">
        <v>103</v>
      </c>
      <c r="BX4" s="32">
        <v>17</v>
      </c>
      <c r="BY4" s="32">
        <v>4.6470588240000001</v>
      </c>
      <c r="BZ4" s="32">
        <v>60</v>
      </c>
      <c r="CA4" s="32">
        <v>1.4554102259999999</v>
      </c>
      <c r="CB4" s="32">
        <v>64.779874210000003</v>
      </c>
      <c r="CC4" s="32">
        <v>1157</v>
      </c>
      <c r="CD4" s="32">
        <v>450</v>
      </c>
      <c r="CE4" s="32">
        <v>1607</v>
      </c>
      <c r="CF4" s="32">
        <v>71.997510890000001</v>
      </c>
      <c r="CG4" s="32">
        <v>12.95967742</v>
      </c>
      <c r="CH4" s="32">
        <v>4.5</v>
      </c>
      <c r="CI4" s="32">
        <v>14</v>
      </c>
      <c r="CJ4" s="32">
        <v>65.777242950000002</v>
      </c>
      <c r="CK4" s="32">
        <v>17.452980759999999</v>
      </c>
      <c r="CL4" s="32">
        <v>4.1871054450000003</v>
      </c>
      <c r="CM4" s="32">
        <v>1.278270689</v>
      </c>
      <c r="CN4" s="32">
        <v>5.4713609549999997</v>
      </c>
      <c r="CO4" s="32">
        <v>1.448839548</v>
      </c>
      <c r="CP4" s="32">
        <v>-3.3491496000000003E-2</v>
      </c>
      <c r="CQ4" s="32">
        <v>1.489338397</v>
      </c>
      <c r="CR4" s="32">
        <v>3.4800246229999998</v>
      </c>
      <c r="CS4" s="32">
        <v>0.52719518600000004</v>
      </c>
      <c r="CT4" s="32">
        <v>0.46452800500000002</v>
      </c>
      <c r="CU4" s="32">
        <v>-0.53054408399999997</v>
      </c>
      <c r="CV4" s="32">
        <v>8.8447551999999999E-2</v>
      </c>
    </row>
    <row r="5" spans="1:100" x14ac:dyDescent="0.2">
      <c r="A5" s="24">
        <v>4</v>
      </c>
      <c r="B5" s="24" t="s">
        <v>189</v>
      </c>
      <c r="C5" s="24" t="s">
        <v>80</v>
      </c>
      <c r="D5" s="32">
        <v>26.64</v>
      </c>
      <c r="E5" s="32">
        <v>0.26</v>
      </c>
      <c r="F5" s="32">
        <v>0.91</v>
      </c>
      <c r="G5" s="33">
        <v>0.36</v>
      </c>
      <c r="H5" s="24"/>
      <c r="I5" s="34">
        <v>0.31259999999999999</v>
      </c>
      <c r="J5" s="32">
        <v>8.93</v>
      </c>
      <c r="K5" s="32">
        <v>4</v>
      </c>
      <c r="L5" s="32">
        <v>1</v>
      </c>
      <c r="M5" s="32">
        <v>0.6</v>
      </c>
      <c r="N5" s="32">
        <v>0</v>
      </c>
      <c r="O5" s="32">
        <v>1</v>
      </c>
      <c r="P5" s="32">
        <v>-1</v>
      </c>
      <c r="Q5" s="32">
        <v>0.841530055</v>
      </c>
      <c r="R5" s="32">
        <v>0.54545454500000001</v>
      </c>
      <c r="S5" s="32">
        <v>0.85</v>
      </c>
      <c r="T5" s="32">
        <v>458</v>
      </c>
      <c r="U5" s="32">
        <v>671</v>
      </c>
      <c r="V5" s="32">
        <v>1.4650655020000001</v>
      </c>
      <c r="W5" s="32">
        <v>0.65</v>
      </c>
      <c r="X5" s="32">
        <v>0.14000000000000001</v>
      </c>
      <c r="Y5" s="32">
        <v>162.95911939999999</v>
      </c>
      <c r="Z5" s="32">
        <v>0.85714285700000004</v>
      </c>
      <c r="AA5" s="32">
        <v>0.83818770200000003</v>
      </c>
      <c r="AB5" s="32">
        <v>0.5</v>
      </c>
      <c r="AC5" s="32">
        <v>0.55555555599999995</v>
      </c>
      <c r="AD5" s="32">
        <v>0.8</v>
      </c>
      <c r="AE5" s="32">
        <v>0.82631578900000002</v>
      </c>
      <c r="AF5" s="32">
        <v>0.92397660800000003</v>
      </c>
      <c r="AG5" s="32">
        <v>0.4</v>
      </c>
      <c r="AH5" s="32">
        <v>0.78888888899999998</v>
      </c>
      <c r="AI5" s="32">
        <v>200</v>
      </c>
      <c r="AJ5" s="32">
        <v>389</v>
      </c>
      <c r="AK5" s="32">
        <v>1.9450000000000001</v>
      </c>
      <c r="AL5" s="32">
        <v>0.35</v>
      </c>
      <c r="AM5" s="32">
        <v>0.13</v>
      </c>
      <c r="AN5" s="32">
        <v>105.50352289999999</v>
      </c>
      <c r="AO5" s="32">
        <v>0.92307692299999999</v>
      </c>
      <c r="AP5" s="32">
        <v>0.92424242400000001</v>
      </c>
      <c r="AQ5" s="32">
        <v>0.28571428599999998</v>
      </c>
      <c r="AR5" s="32">
        <v>0.46153846199999998</v>
      </c>
      <c r="AS5" s="32">
        <v>0.56666666700000001</v>
      </c>
      <c r="AT5" s="32">
        <v>0.85714285700000004</v>
      </c>
      <c r="AU5" s="32">
        <v>191</v>
      </c>
      <c r="AV5" s="32">
        <v>191</v>
      </c>
      <c r="AW5" s="32">
        <v>44</v>
      </c>
      <c r="AX5" s="32">
        <v>235</v>
      </c>
      <c r="AY5" s="32">
        <v>81.276595740000005</v>
      </c>
      <c r="AZ5" s="32">
        <v>1.2303664919999999</v>
      </c>
      <c r="BA5" s="32">
        <v>0.35</v>
      </c>
      <c r="BB5" s="32">
        <v>18</v>
      </c>
      <c r="BC5" s="32">
        <v>0.11</v>
      </c>
      <c r="BD5" s="32">
        <v>87.434554969999994</v>
      </c>
      <c r="BE5" s="32">
        <v>12.565445029999999</v>
      </c>
      <c r="BF5" s="32">
        <v>17</v>
      </c>
      <c r="BG5" s="32">
        <v>9.8235294119999992</v>
      </c>
      <c r="BH5" s="32">
        <v>152.94117650000001</v>
      </c>
      <c r="BI5" s="32">
        <v>0.81116545399999995</v>
      </c>
      <c r="BJ5" s="32">
        <v>218.34925509999999</v>
      </c>
      <c r="BK5" s="32">
        <v>2</v>
      </c>
      <c r="BL5" s="32">
        <v>15.620847599999999</v>
      </c>
      <c r="BM5" s="32">
        <v>93.650793649999997</v>
      </c>
      <c r="BN5" s="32">
        <v>6.3492063490000001</v>
      </c>
      <c r="BO5" s="32">
        <v>63</v>
      </c>
      <c r="BP5" s="32">
        <v>7</v>
      </c>
      <c r="BQ5" s="32">
        <v>8.4285714289999998</v>
      </c>
      <c r="BR5" s="32">
        <v>131.57142859999999</v>
      </c>
      <c r="BS5" s="32">
        <v>0.33400930499999998</v>
      </c>
      <c r="BT5" s="32">
        <v>86.301369859999994</v>
      </c>
      <c r="BU5" s="32">
        <v>84.375</v>
      </c>
      <c r="BV5" s="32">
        <v>15.625</v>
      </c>
      <c r="BW5" s="32">
        <v>128</v>
      </c>
      <c r="BX5" s="32">
        <v>10</v>
      </c>
      <c r="BY5" s="32">
        <v>10.8</v>
      </c>
      <c r="BZ5" s="32">
        <v>167.9</v>
      </c>
      <c r="CA5" s="32">
        <v>0.86471944700000003</v>
      </c>
      <c r="CB5" s="32">
        <v>79.012345679999996</v>
      </c>
      <c r="CC5" s="32">
        <v>1377</v>
      </c>
      <c r="CD5" s="32">
        <v>276</v>
      </c>
      <c r="CE5" s="32">
        <v>1653</v>
      </c>
      <c r="CF5" s="32">
        <v>83.303085300000006</v>
      </c>
      <c r="CG5" s="32">
        <v>12.71538462</v>
      </c>
      <c r="CH5" s="32">
        <v>3</v>
      </c>
      <c r="CI5" s="32">
        <v>15</v>
      </c>
      <c r="CJ5" s="32">
        <v>68.682965010000004</v>
      </c>
      <c r="CK5" s="32">
        <v>24.005707319999999</v>
      </c>
      <c r="CL5" s="32">
        <v>2.2318759460000002</v>
      </c>
      <c r="CM5" s="32">
        <v>1.0377697770000001</v>
      </c>
      <c r="CN5" s="32">
        <v>4.7487963679999998</v>
      </c>
      <c r="CO5" s="32">
        <v>1.3330712140000001</v>
      </c>
      <c r="CP5" s="32">
        <v>8.3567811000000006E-2</v>
      </c>
      <c r="CQ5" s="32">
        <v>0.91736426400000004</v>
      </c>
      <c r="CR5" s="32">
        <v>4.5011353600000001</v>
      </c>
      <c r="CS5" s="32">
        <v>0.24563517000000001</v>
      </c>
      <c r="CT5" s="32">
        <v>0.49450947099999998</v>
      </c>
      <c r="CU5" s="32">
        <v>-0.327652787</v>
      </c>
      <c r="CV5" s="32">
        <v>0.104786713</v>
      </c>
    </row>
    <row r="6" spans="1:100" x14ac:dyDescent="0.2">
      <c r="A6" s="24">
        <v>5</v>
      </c>
      <c r="B6" s="24" t="s">
        <v>190</v>
      </c>
      <c r="C6" s="24" t="s">
        <v>80</v>
      </c>
      <c r="D6" s="32">
        <v>23.75</v>
      </c>
      <c r="E6" s="32">
        <v>0.28999999999999998</v>
      </c>
      <c r="F6" s="32">
        <v>0.56000000000000005</v>
      </c>
      <c r="G6" s="33">
        <v>0.14000000000000001</v>
      </c>
      <c r="H6" s="24"/>
      <c r="I6" s="34">
        <v>0.28339999999999999</v>
      </c>
      <c r="J6" s="32">
        <v>7.37</v>
      </c>
      <c r="K6" s="32">
        <v>20</v>
      </c>
      <c r="L6" s="32">
        <v>0</v>
      </c>
      <c r="M6" s="32">
        <v>1</v>
      </c>
      <c r="N6" s="32">
        <v>1</v>
      </c>
      <c r="O6" s="32">
        <v>4</v>
      </c>
      <c r="P6" s="32">
        <v>-0.6</v>
      </c>
      <c r="Q6" s="32">
        <v>0.69189189200000001</v>
      </c>
      <c r="R6" s="32">
        <v>0.47619047599999997</v>
      </c>
      <c r="S6" s="32">
        <v>0.74347826100000003</v>
      </c>
      <c r="T6" s="32">
        <v>482</v>
      </c>
      <c r="U6" s="32">
        <v>822</v>
      </c>
      <c r="V6" s="32">
        <v>1.7053941909999999</v>
      </c>
      <c r="W6" s="32">
        <v>0.95</v>
      </c>
      <c r="X6" s="32">
        <v>0.13</v>
      </c>
      <c r="Y6" s="32">
        <v>165.1483547</v>
      </c>
      <c r="Z6" s="32">
        <v>0.66666666699999999</v>
      </c>
      <c r="AA6" s="32">
        <v>0.69863013699999998</v>
      </c>
      <c r="AB6" s="32">
        <v>0.64285714299999996</v>
      </c>
      <c r="AC6" s="32">
        <v>0.44285714300000001</v>
      </c>
      <c r="AD6" s="32">
        <v>0.7</v>
      </c>
      <c r="AE6" s="32">
        <v>0.75</v>
      </c>
      <c r="AF6" s="32">
        <v>0.71666666700000003</v>
      </c>
      <c r="AG6" s="32">
        <v>0.51851851900000001</v>
      </c>
      <c r="AH6" s="32">
        <v>0.55454545499999996</v>
      </c>
      <c r="AI6" s="32">
        <v>235</v>
      </c>
      <c r="AJ6" s="32">
        <v>446</v>
      </c>
      <c r="AK6" s="32">
        <v>1.8978723399999999</v>
      </c>
      <c r="AL6" s="32">
        <v>0.41</v>
      </c>
      <c r="AM6" s="32">
        <v>0.11</v>
      </c>
      <c r="AN6" s="32">
        <v>133.72946379999999</v>
      </c>
      <c r="AO6" s="32">
        <v>0.82758620699999996</v>
      </c>
      <c r="AP6" s="32">
        <v>0.69536423800000002</v>
      </c>
      <c r="AQ6" s="32">
        <v>0.75</v>
      </c>
      <c r="AR6" s="32">
        <v>0.47826087</v>
      </c>
      <c r="AS6" s="32">
        <v>0.53333333299999997</v>
      </c>
      <c r="AT6" s="32">
        <v>0.53</v>
      </c>
      <c r="AU6" s="32">
        <v>142</v>
      </c>
      <c r="AV6" s="32">
        <v>142</v>
      </c>
      <c r="AW6" s="32">
        <v>65</v>
      </c>
      <c r="AX6" s="32">
        <v>207</v>
      </c>
      <c r="AY6" s="32">
        <v>68.599033820000002</v>
      </c>
      <c r="AZ6" s="32">
        <v>1.4577464790000001</v>
      </c>
      <c r="BA6" s="32">
        <v>0.47</v>
      </c>
      <c r="BB6" s="32">
        <v>21</v>
      </c>
      <c r="BC6" s="32">
        <v>0.11</v>
      </c>
      <c r="BD6" s="32">
        <v>64.084507040000005</v>
      </c>
      <c r="BE6" s="32">
        <v>35.915492960000002</v>
      </c>
      <c r="BF6" s="32">
        <v>20</v>
      </c>
      <c r="BG6" s="32">
        <v>4.55</v>
      </c>
      <c r="BH6" s="32">
        <v>54.55</v>
      </c>
      <c r="BI6" s="32">
        <v>0.94418799799999997</v>
      </c>
      <c r="BJ6" s="32">
        <v>160.67892499999999</v>
      </c>
      <c r="BK6" s="32">
        <v>0</v>
      </c>
      <c r="BL6" s="32">
        <v>13.96668818</v>
      </c>
      <c r="BM6" s="32">
        <v>66.666666669999998</v>
      </c>
      <c r="BN6" s="32">
        <v>33.333333330000002</v>
      </c>
      <c r="BO6" s="32">
        <v>18</v>
      </c>
      <c r="BP6" s="32">
        <v>2</v>
      </c>
      <c r="BQ6" s="32">
        <v>6</v>
      </c>
      <c r="BR6" s="32">
        <v>83</v>
      </c>
      <c r="BS6" s="32">
        <v>9.4418799999999997E-2</v>
      </c>
      <c r="BT6" s="32">
        <v>81.818181820000007</v>
      </c>
      <c r="BU6" s="32">
        <v>63.709677419999998</v>
      </c>
      <c r="BV6" s="32">
        <v>36.290322580000002</v>
      </c>
      <c r="BW6" s="32">
        <v>124</v>
      </c>
      <c r="BX6" s="32">
        <v>18</v>
      </c>
      <c r="BY6" s="32">
        <v>4.3888888890000004</v>
      </c>
      <c r="BZ6" s="32">
        <v>51.388888889999997</v>
      </c>
      <c r="CA6" s="32">
        <v>1.5381693890000001</v>
      </c>
      <c r="CB6" s="32">
        <v>67.027027029999999</v>
      </c>
      <c r="CC6" s="32">
        <v>691</v>
      </c>
      <c r="CD6" s="32">
        <v>389</v>
      </c>
      <c r="CE6" s="32">
        <v>1080</v>
      </c>
      <c r="CF6" s="32">
        <v>63.981481479999999</v>
      </c>
      <c r="CG6" s="32">
        <v>8</v>
      </c>
      <c r="CH6" s="32">
        <v>4</v>
      </c>
      <c r="CI6" s="32">
        <v>24</v>
      </c>
      <c r="CJ6" s="32">
        <v>70.393124839999999</v>
      </c>
      <c r="CK6" s="32">
        <v>25.580526769999999</v>
      </c>
      <c r="CL6" s="32">
        <v>4.68388969</v>
      </c>
      <c r="CM6" s="32">
        <v>2.4914551509999998</v>
      </c>
      <c r="CN6" s="32">
        <v>4.7991696240000001</v>
      </c>
      <c r="CO6" s="32">
        <v>2.5642434820000002</v>
      </c>
      <c r="CP6" s="32">
        <v>-0.157107414</v>
      </c>
      <c r="CQ6" s="32">
        <v>0.96511439600000004</v>
      </c>
      <c r="CR6" s="32">
        <v>5.4634735680000004</v>
      </c>
      <c r="CS6" s="32">
        <v>0.363654068</v>
      </c>
      <c r="CT6" s="32">
        <v>0.27088652299999999</v>
      </c>
      <c r="CU6" s="32">
        <v>-0.57718291200000005</v>
      </c>
      <c r="CV6" s="32">
        <v>7.0800000000000002E-2</v>
      </c>
    </row>
    <row r="7" spans="1:100" x14ac:dyDescent="0.2">
      <c r="A7" s="24">
        <v>6</v>
      </c>
      <c r="B7" s="24" t="s">
        <v>191</v>
      </c>
      <c r="C7" s="24" t="s">
        <v>80</v>
      </c>
      <c r="D7" s="32">
        <v>27.54</v>
      </c>
      <c r="E7" s="32">
        <v>1.22</v>
      </c>
      <c r="F7" s="32">
        <v>1.43</v>
      </c>
      <c r="G7" s="33">
        <v>0.28000000000000003</v>
      </c>
      <c r="H7" s="24"/>
      <c r="I7" s="34">
        <v>0.55789999999999995</v>
      </c>
      <c r="J7" s="32">
        <v>15.56</v>
      </c>
      <c r="K7" s="32">
        <v>19</v>
      </c>
      <c r="L7" s="32">
        <v>0</v>
      </c>
      <c r="M7" s="32">
        <v>1</v>
      </c>
      <c r="N7" s="32">
        <v>2</v>
      </c>
      <c r="O7" s="32">
        <v>0</v>
      </c>
      <c r="P7" s="32">
        <v>1</v>
      </c>
      <c r="Q7" s="32">
        <v>0.81632653099999997</v>
      </c>
      <c r="R7" s="32">
        <v>0.53968254000000004</v>
      </c>
      <c r="S7" s="32">
        <v>0.74615384600000001</v>
      </c>
      <c r="T7" s="32">
        <v>532</v>
      </c>
      <c r="U7" s="32">
        <v>836</v>
      </c>
      <c r="V7" s="32">
        <v>1.571428571</v>
      </c>
      <c r="W7" s="32">
        <v>0.83</v>
      </c>
      <c r="X7" s="32">
        <v>0.1</v>
      </c>
      <c r="Y7" s="32">
        <v>181.76598290000001</v>
      </c>
      <c r="Z7" s="32">
        <v>0.82716049400000002</v>
      </c>
      <c r="AA7" s="32">
        <v>0.81350482300000004</v>
      </c>
      <c r="AB7" s="32">
        <v>0.36363636399999999</v>
      </c>
      <c r="AC7" s="32">
        <v>0.57692307700000001</v>
      </c>
      <c r="AD7" s="32">
        <v>0.78333333299999997</v>
      </c>
      <c r="AE7" s="32">
        <v>0.74090909100000002</v>
      </c>
      <c r="AF7" s="32">
        <v>0.85945945899999998</v>
      </c>
      <c r="AG7" s="32">
        <v>0.65217391300000005</v>
      </c>
      <c r="AH7" s="32">
        <v>0.67272727300000001</v>
      </c>
      <c r="AI7" s="32">
        <v>232</v>
      </c>
      <c r="AJ7" s="32">
        <v>429</v>
      </c>
      <c r="AK7" s="32">
        <v>1.849137931</v>
      </c>
      <c r="AL7" s="32">
        <v>0.41</v>
      </c>
      <c r="AM7" s="32">
        <v>0.11</v>
      </c>
      <c r="AN7" s="32">
        <v>131.47507150000001</v>
      </c>
      <c r="AO7" s="32">
        <v>0.80555555599999995</v>
      </c>
      <c r="AP7" s="32">
        <v>0.87248322099999998</v>
      </c>
      <c r="AQ7" s="32">
        <v>0.4</v>
      </c>
      <c r="AR7" s="32">
        <v>0.68292682900000001</v>
      </c>
      <c r="AS7" s="32">
        <v>0.66666666699999999</v>
      </c>
      <c r="AT7" s="32">
        <v>0.66249999999999998</v>
      </c>
      <c r="AU7" s="32">
        <v>151</v>
      </c>
      <c r="AV7" s="32">
        <v>151</v>
      </c>
      <c r="AW7" s="32">
        <v>47</v>
      </c>
      <c r="AX7" s="32">
        <v>198</v>
      </c>
      <c r="AY7" s="32">
        <v>76.262626260000005</v>
      </c>
      <c r="AZ7" s="32">
        <v>1.3112582779999999</v>
      </c>
      <c r="BA7" s="32">
        <v>0.41</v>
      </c>
      <c r="BB7" s="32">
        <v>15</v>
      </c>
      <c r="BC7" s="32">
        <v>0.09</v>
      </c>
      <c r="BD7" s="32">
        <v>82.119205300000004</v>
      </c>
      <c r="BE7" s="32">
        <v>17.880794699999999</v>
      </c>
      <c r="BF7" s="32">
        <v>12</v>
      </c>
      <c r="BG7" s="32">
        <v>10.33333333</v>
      </c>
      <c r="BH7" s="32">
        <v>133.33333329999999</v>
      </c>
      <c r="BI7" s="32">
        <v>0.60036689099999996</v>
      </c>
      <c r="BJ7" s="32">
        <v>181.1396201</v>
      </c>
      <c r="BK7" s="32">
        <v>2</v>
      </c>
      <c r="BL7" s="32">
        <v>10.82878253</v>
      </c>
      <c r="BM7" s="32">
        <v>89.361702129999998</v>
      </c>
      <c r="BN7" s="32">
        <v>10.638297870000001</v>
      </c>
      <c r="BO7" s="32">
        <v>47</v>
      </c>
      <c r="BP7" s="32">
        <v>5</v>
      </c>
      <c r="BQ7" s="32">
        <v>8.4</v>
      </c>
      <c r="BR7" s="32">
        <v>105.6</v>
      </c>
      <c r="BS7" s="32">
        <v>0.250152871</v>
      </c>
      <c r="BT7" s="32">
        <v>78.333333330000002</v>
      </c>
      <c r="BU7" s="32">
        <v>78.846153849999993</v>
      </c>
      <c r="BV7" s="32">
        <v>21.15384615</v>
      </c>
      <c r="BW7" s="32">
        <v>104</v>
      </c>
      <c r="BX7" s="32">
        <v>7</v>
      </c>
      <c r="BY7" s="32">
        <v>11.71428571</v>
      </c>
      <c r="BZ7" s="32">
        <v>153.14285709999999</v>
      </c>
      <c r="CA7" s="32">
        <v>0.605478136</v>
      </c>
      <c r="CB7" s="32">
        <v>75.36231884</v>
      </c>
      <c r="CC7" s="32">
        <v>926</v>
      </c>
      <c r="CD7" s="32">
        <v>330</v>
      </c>
      <c r="CE7" s="32">
        <v>1256</v>
      </c>
      <c r="CF7" s="32">
        <v>73.72611465</v>
      </c>
      <c r="CG7" s="32">
        <v>10.129032260000001</v>
      </c>
      <c r="CH7" s="32">
        <v>4</v>
      </c>
      <c r="CI7" s="32">
        <v>15</v>
      </c>
      <c r="CJ7" s="32">
        <v>64.920285770000007</v>
      </c>
      <c r="CK7" s="32">
        <v>18.37753755</v>
      </c>
      <c r="CL7" s="32">
        <v>4.7935055870000003</v>
      </c>
      <c r="CM7" s="32">
        <v>1.5301272960000001</v>
      </c>
      <c r="CN7" s="32">
        <v>5.904640219</v>
      </c>
      <c r="CO7" s="32">
        <v>1.7325838650000001</v>
      </c>
      <c r="CP7" s="32">
        <v>-0.137791097</v>
      </c>
      <c r="CQ7" s="32">
        <v>1.0812657939999999</v>
      </c>
      <c r="CR7" s="32">
        <v>4.2041070339999997</v>
      </c>
      <c r="CS7" s="32">
        <v>0.52068274699999995</v>
      </c>
      <c r="CT7" s="32">
        <v>0.31237340000000002</v>
      </c>
      <c r="CU7" s="32">
        <v>-0.58526362399999998</v>
      </c>
      <c r="CV7" s="32">
        <v>7.3143860000000005E-2</v>
      </c>
    </row>
    <row r="8" spans="1:100" x14ac:dyDescent="0.2">
      <c r="A8" s="24">
        <v>7</v>
      </c>
      <c r="B8" s="24" t="s">
        <v>192</v>
      </c>
      <c r="C8" s="24" t="s">
        <v>80</v>
      </c>
      <c r="D8" s="32">
        <v>26.44</v>
      </c>
      <c r="E8" s="32">
        <v>1.25</v>
      </c>
      <c r="F8" s="32">
        <v>0.68</v>
      </c>
      <c r="G8" s="33">
        <v>0.44</v>
      </c>
      <c r="H8" s="24"/>
      <c r="I8" s="34">
        <v>0.5081</v>
      </c>
      <c r="J8" s="32">
        <v>14.15</v>
      </c>
      <c r="K8" s="32">
        <v>7</v>
      </c>
      <c r="L8" s="32">
        <v>0</v>
      </c>
      <c r="M8" s="32">
        <v>1</v>
      </c>
      <c r="N8" s="32">
        <v>4</v>
      </c>
      <c r="O8" s="32">
        <v>3</v>
      </c>
      <c r="P8" s="32">
        <v>0.14000000000000001</v>
      </c>
      <c r="Q8" s="32">
        <v>0.66763848400000003</v>
      </c>
      <c r="R8" s="32">
        <v>0.443396226</v>
      </c>
      <c r="S8" s="32">
        <v>0.69130434799999996</v>
      </c>
      <c r="T8" s="32">
        <v>466</v>
      </c>
      <c r="U8" s="32">
        <v>842</v>
      </c>
      <c r="V8" s="32">
        <v>1.8068669530000001</v>
      </c>
      <c r="W8" s="32">
        <v>1.07</v>
      </c>
      <c r="X8" s="32">
        <v>0.11</v>
      </c>
      <c r="Y8" s="32">
        <v>159.61138320000001</v>
      </c>
      <c r="Z8" s="32">
        <v>0.64788732400000004</v>
      </c>
      <c r="AA8" s="32">
        <v>0.672794118</v>
      </c>
      <c r="AB8" s="32">
        <v>0.47058823500000002</v>
      </c>
      <c r="AC8" s="32">
        <v>0.43820224699999999</v>
      </c>
      <c r="AD8" s="32">
        <v>0.66</v>
      </c>
      <c r="AE8" s="32">
        <v>0.694117647</v>
      </c>
      <c r="AF8" s="32">
        <v>0.91943127999999996</v>
      </c>
      <c r="AG8" s="32">
        <v>0.5</v>
      </c>
      <c r="AH8" s="32">
        <v>0.63333333300000005</v>
      </c>
      <c r="AI8" s="32">
        <v>260</v>
      </c>
      <c r="AJ8" s="32">
        <v>448</v>
      </c>
      <c r="AK8" s="32">
        <v>1.723076923</v>
      </c>
      <c r="AL8" s="32">
        <v>0.53</v>
      </c>
      <c r="AM8" s="32">
        <v>0.13</v>
      </c>
      <c r="AN8" s="32">
        <v>139.89811549999999</v>
      </c>
      <c r="AO8" s="32">
        <v>0.837837838</v>
      </c>
      <c r="AP8" s="32">
        <v>0.93641618500000001</v>
      </c>
      <c r="AQ8" s="32">
        <v>0.75</v>
      </c>
      <c r="AR8" s="32">
        <v>0.46</v>
      </c>
      <c r="AS8" s="32">
        <v>0.7</v>
      </c>
      <c r="AT8" s="32">
        <v>0.57272727300000004</v>
      </c>
      <c r="AU8" s="32">
        <v>131</v>
      </c>
      <c r="AV8" s="32">
        <v>131</v>
      </c>
      <c r="AW8" s="32">
        <v>79</v>
      </c>
      <c r="AX8" s="32">
        <v>210</v>
      </c>
      <c r="AY8" s="32">
        <v>62.380952379999997</v>
      </c>
      <c r="AZ8" s="32">
        <v>1.6030534350000001</v>
      </c>
      <c r="BA8" s="32">
        <v>0.65</v>
      </c>
      <c r="BB8" s="32">
        <v>24.5</v>
      </c>
      <c r="BC8" s="32">
        <v>0.13500000000000001</v>
      </c>
      <c r="BD8" s="32">
        <v>60.30534351</v>
      </c>
      <c r="BE8" s="32">
        <v>39.69465649</v>
      </c>
      <c r="BF8" s="32">
        <v>12</v>
      </c>
      <c r="BG8" s="32">
        <v>6.5833333329999997</v>
      </c>
      <c r="BH8" s="32">
        <v>91.5</v>
      </c>
      <c r="BI8" s="32">
        <v>0.54868987599999997</v>
      </c>
      <c r="BJ8" s="32">
        <v>143.5652858</v>
      </c>
      <c r="BK8" s="32">
        <v>1</v>
      </c>
      <c r="BL8" s="32">
        <v>14.55680695</v>
      </c>
      <c r="BM8" s="32">
        <v>83.333333330000002</v>
      </c>
      <c r="BN8" s="32">
        <v>16.666666670000001</v>
      </c>
      <c r="BO8" s="32">
        <v>24</v>
      </c>
      <c r="BP8" s="32">
        <v>4</v>
      </c>
      <c r="BQ8" s="32">
        <v>5</v>
      </c>
      <c r="BR8" s="32">
        <v>73.75</v>
      </c>
      <c r="BS8" s="32">
        <v>0.18289662500000001</v>
      </c>
      <c r="BT8" s="32">
        <v>68.571428569999995</v>
      </c>
      <c r="BU8" s="32">
        <v>55.140186919999998</v>
      </c>
      <c r="BV8" s="32">
        <v>44.859813080000002</v>
      </c>
      <c r="BW8" s="32">
        <v>107</v>
      </c>
      <c r="BX8" s="32">
        <v>8</v>
      </c>
      <c r="BY8" s="32">
        <v>7.375</v>
      </c>
      <c r="BZ8" s="32">
        <v>100.375</v>
      </c>
      <c r="CA8" s="32">
        <v>0.74385928700000004</v>
      </c>
      <c r="CB8" s="32">
        <v>61.142857139999997</v>
      </c>
      <c r="CC8" s="32">
        <v>580</v>
      </c>
      <c r="CD8" s="32">
        <v>249</v>
      </c>
      <c r="CE8" s="32">
        <v>829</v>
      </c>
      <c r="CF8" s="32">
        <v>69.963811820000004</v>
      </c>
      <c r="CG8" s="32">
        <v>7.3362831860000002</v>
      </c>
      <c r="CH8" s="32">
        <v>4</v>
      </c>
      <c r="CI8" s="32">
        <v>19</v>
      </c>
      <c r="CJ8" s="32">
        <v>58.965067400000002</v>
      </c>
      <c r="CK8" s="32">
        <v>21.500740350000001</v>
      </c>
      <c r="CL8" s="32">
        <v>4.613714936</v>
      </c>
      <c r="CM8" s="32">
        <v>1.8907047720000001</v>
      </c>
      <c r="CN8" s="32">
        <v>5.076059409</v>
      </c>
      <c r="CO8" s="32">
        <v>2.0679052809999998</v>
      </c>
      <c r="CP8" s="32">
        <v>0.14396710500000001</v>
      </c>
      <c r="CQ8" s="32">
        <v>1.80934197</v>
      </c>
      <c r="CR8" s="32">
        <v>5.4499061710000003</v>
      </c>
      <c r="CS8" s="32">
        <v>0.47973817800000002</v>
      </c>
      <c r="CT8" s="32">
        <v>0.82946748199999998</v>
      </c>
      <c r="CU8" s="32">
        <v>-0.55912490299999995</v>
      </c>
      <c r="CV8" s="32">
        <v>0.110649123</v>
      </c>
    </row>
    <row r="9" spans="1:100" x14ac:dyDescent="0.2">
      <c r="A9" s="24">
        <v>8</v>
      </c>
      <c r="B9" s="24" t="s">
        <v>193</v>
      </c>
      <c r="C9" s="24" t="s">
        <v>80</v>
      </c>
      <c r="D9" s="32">
        <v>28.54</v>
      </c>
      <c r="E9" s="32">
        <v>0.56999999999999995</v>
      </c>
      <c r="F9" s="32">
        <v>1.4</v>
      </c>
      <c r="G9" s="33">
        <v>0.31</v>
      </c>
      <c r="H9" s="24"/>
      <c r="I9" s="34">
        <v>0.31019999999999998</v>
      </c>
      <c r="J9" s="32">
        <v>9.5399999999999991</v>
      </c>
      <c r="K9" s="32">
        <v>3</v>
      </c>
      <c r="L9" s="32">
        <v>0</v>
      </c>
      <c r="M9" s="32">
        <v>1</v>
      </c>
      <c r="N9" s="32">
        <v>0</v>
      </c>
      <c r="O9" s="32">
        <v>1</v>
      </c>
      <c r="P9" s="32">
        <v>-1</v>
      </c>
      <c r="Q9" s="32">
        <v>0.77945619300000002</v>
      </c>
      <c r="R9" s="32">
        <v>0.42307692299999999</v>
      </c>
      <c r="S9" s="32">
        <v>0.86842105300000005</v>
      </c>
      <c r="T9" s="32">
        <v>390</v>
      </c>
      <c r="U9" s="32">
        <v>634</v>
      </c>
      <c r="V9" s="32">
        <v>1.625641026</v>
      </c>
      <c r="W9" s="32">
        <v>1.19</v>
      </c>
      <c r="X9" s="32">
        <v>0.14000000000000001</v>
      </c>
      <c r="Y9" s="32">
        <v>133.18366510000001</v>
      </c>
      <c r="Z9" s="32">
        <v>0.65217391300000005</v>
      </c>
      <c r="AA9" s="32">
        <v>0.78896103900000003</v>
      </c>
      <c r="AB9" s="32">
        <v>0.5</v>
      </c>
      <c r="AC9" s="32">
        <v>0.41666666699999999</v>
      </c>
      <c r="AD9" s="24"/>
      <c r="AE9" s="32">
        <v>0.85263157899999997</v>
      </c>
      <c r="AF9" s="32">
        <v>0.79591836699999996</v>
      </c>
      <c r="AG9" s="32">
        <v>0.48</v>
      </c>
      <c r="AH9" s="32">
        <v>0.52500000000000002</v>
      </c>
      <c r="AI9" s="32">
        <v>250</v>
      </c>
      <c r="AJ9" s="32">
        <v>471</v>
      </c>
      <c r="AK9" s="32">
        <v>1.8839999999999999</v>
      </c>
      <c r="AL9" s="32">
        <v>0.71</v>
      </c>
      <c r="AM9" s="32">
        <v>0.12</v>
      </c>
      <c r="AN9" s="32">
        <v>131.3916566</v>
      </c>
      <c r="AO9" s="32">
        <v>0.909090909</v>
      </c>
      <c r="AP9" s="32">
        <v>0.76315789499999998</v>
      </c>
      <c r="AQ9" s="32">
        <v>0.33333333300000001</v>
      </c>
      <c r="AR9" s="32">
        <v>0.52631578899999998</v>
      </c>
      <c r="AS9" s="32">
        <v>0.4</v>
      </c>
      <c r="AT9" s="32">
        <v>0.51</v>
      </c>
      <c r="AU9" s="32">
        <v>166</v>
      </c>
      <c r="AV9" s="32">
        <v>166</v>
      </c>
      <c r="AW9" s="32">
        <v>46</v>
      </c>
      <c r="AX9" s="32">
        <v>212</v>
      </c>
      <c r="AY9" s="32">
        <v>78.301886789999998</v>
      </c>
      <c r="AZ9" s="32">
        <v>1.2771084340000001</v>
      </c>
      <c r="BA9" s="32">
        <v>0.77</v>
      </c>
      <c r="BB9" s="32">
        <v>23</v>
      </c>
      <c r="BC9" s="32">
        <v>0.14000000000000001</v>
      </c>
      <c r="BD9" s="32">
        <v>66.265060239999997</v>
      </c>
      <c r="BE9" s="32">
        <v>33.734939760000003</v>
      </c>
      <c r="BF9" s="32">
        <v>23</v>
      </c>
      <c r="BG9" s="32">
        <v>4.7826086959999996</v>
      </c>
      <c r="BH9" s="32">
        <v>61.086956520000001</v>
      </c>
      <c r="BI9" s="32">
        <v>1.026035019</v>
      </c>
      <c r="BJ9" s="32">
        <v>177.5488982</v>
      </c>
      <c r="BK9" s="32">
        <v>1</v>
      </c>
      <c r="BL9" s="32">
        <v>12.78972269</v>
      </c>
      <c r="BM9" s="32">
        <v>71.794871790000002</v>
      </c>
      <c r="BN9" s="32">
        <v>28.205128210000002</v>
      </c>
      <c r="BO9" s="32">
        <v>39</v>
      </c>
      <c r="BP9" s="32">
        <v>4</v>
      </c>
      <c r="BQ9" s="32">
        <v>7</v>
      </c>
      <c r="BR9" s="32">
        <v>110.5</v>
      </c>
      <c r="BS9" s="32">
        <v>0.178440873</v>
      </c>
      <c r="BT9" s="32">
        <v>92.857142859999996</v>
      </c>
      <c r="BU9" s="32">
        <v>64.566929130000005</v>
      </c>
      <c r="BV9" s="32">
        <v>35.433070870000002</v>
      </c>
      <c r="BW9" s="32">
        <v>127</v>
      </c>
      <c r="BX9" s="32">
        <v>19</v>
      </c>
      <c r="BY9" s="32">
        <v>4.3157894739999998</v>
      </c>
      <c r="BZ9" s="32">
        <v>50.684210530000001</v>
      </c>
      <c r="CA9" s="32">
        <v>1.672780631</v>
      </c>
      <c r="CB9" s="32">
        <v>74.705882349999996</v>
      </c>
      <c r="CC9" s="32">
        <v>839</v>
      </c>
      <c r="CD9" s="32">
        <v>154</v>
      </c>
      <c r="CE9" s="32">
        <v>993</v>
      </c>
      <c r="CF9" s="32">
        <v>84.491440080000004</v>
      </c>
      <c r="CG9" s="32">
        <v>8.5603448279999999</v>
      </c>
      <c r="CH9" s="32">
        <v>5.5</v>
      </c>
      <c r="CI9" s="32">
        <v>16</v>
      </c>
      <c r="CJ9" s="32">
        <v>61.18756029</v>
      </c>
      <c r="CK9" s="32">
        <v>17.552208</v>
      </c>
      <c r="CL9" s="32">
        <v>5.0335466259999997</v>
      </c>
      <c r="CM9" s="32">
        <v>1.774711479</v>
      </c>
      <c r="CN9" s="32">
        <v>5.2730821910000003</v>
      </c>
      <c r="CO9" s="32">
        <v>1.836635639</v>
      </c>
      <c r="CP9" s="32">
        <v>-0.165422919</v>
      </c>
      <c r="CQ9" s="32">
        <v>0.79598035899999997</v>
      </c>
      <c r="CR9" s="32">
        <v>5.2181737359999998</v>
      </c>
      <c r="CS9" s="32">
        <v>0.341959234</v>
      </c>
      <c r="CT9" s="32">
        <v>0.164941692</v>
      </c>
      <c r="CU9" s="32">
        <v>-0.49837428099999997</v>
      </c>
      <c r="CV9" s="32">
        <v>6.8603508999999993E-2</v>
      </c>
    </row>
    <row r="10" spans="1:100" x14ac:dyDescent="0.2">
      <c r="A10" s="24">
        <v>9</v>
      </c>
      <c r="B10" s="24" t="s">
        <v>194</v>
      </c>
      <c r="C10" s="24" t="s">
        <v>80</v>
      </c>
      <c r="D10" s="32">
        <v>27.39</v>
      </c>
      <c r="E10" s="32">
        <v>0.48</v>
      </c>
      <c r="F10" s="32">
        <v>1.7</v>
      </c>
      <c r="G10" s="33">
        <v>0.15</v>
      </c>
      <c r="H10" s="24"/>
      <c r="I10" s="34">
        <v>0.43780000000000002</v>
      </c>
      <c r="J10" s="32">
        <v>13.03</v>
      </c>
      <c r="K10" s="32">
        <v>5</v>
      </c>
      <c r="L10" s="32">
        <v>5</v>
      </c>
      <c r="M10" s="32">
        <v>0</v>
      </c>
      <c r="N10" s="32">
        <v>3</v>
      </c>
      <c r="O10" s="32">
        <v>4</v>
      </c>
      <c r="P10" s="32">
        <v>-0.14000000000000001</v>
      </c>
      <c r="Q10" s="32">
        <v>0.76384839699999996</v>
      </c>
      <c r="R10" s="32">
        <v>0.45283018899999999</v>
      </c>
      <c r="S10" s="32">
        <v>0.76</v>
      </c>
      <c r="T10" s="32">
        <v>418</v>
      </c>
      <c r="U10" s="32">
        <v>691</v>
      </c>
      <c r="V10" s="32">
        <v>1.6531100480000001</v>
      </c>
      <c r="W10" s="32">
        <v>1.07</v>
      </c>
      <c r="X10" s="32">
        <v>0.12</v>
      </c>
      <c r="Y10" s="32">
        <v>145.09981959999999</v>
      </c>
      <c r="Z10" s="32">
        <v>0.75</v>
      </c>
      <c r="AA10" s="32">
        <v>0.76547231299999996</v>
      </c>
      <c r="AB10" s="32">
        <v>0.44444444399999999</v>
      </c>
      <c r="AC10" s="32">
        <v>0.45454545499999999</v>
      </c>
      <c r="AD10" s="32">
        <v>0.7</v>
      </c>
      <c r="AE10" s="32">
        <v>0.747368421</v>
      </c>
      <c r="AF10" s="32">
        <v>0.87777777800000001</v>
      </c>
      <c r="AG10" s="32">
        <v>0.51063829800000005</v>
      </c>
      <c r="AH10" s="32">
        <v>0.72727272700000001</v>
      </c>
      <c r="AI10" s="32">
        <v>232</v>
      </c>
      <c r="AJ10" s="32">
        <v>424</v>
      </c>
      <c r="AK10" s="32">
        <v>1.827586207</v>
      </c>
      <c r="AL10" s="32">
        <v>0.47</v>
      </c>
      <c r="AM10" s="32">
        <v>0.15</v>
      </c>
      <c r="AN10" s="32">
        <v>124.3802981</v>
      </c>
      <c r="AO10" s="32">
        <v>0.86111111100000004</v>
      </c>
      <c r="AP10" s="32">
        <v>0.88194444400000005</v>
      </c>
      <c r="AQ10" s="32">
        <v>0.6</v>
      </c>
      <c r="AR10" s="32">
        <v>0.486486486</v>
      </c>
      <c r="AS10" s="32">
        <v>0.73333333300000003</v>
      </c>
      <c r="AT10" s="32">
        <v>0.7</v>
      </c>
      <c r="AU10" s="32">
        <v>159</v>
      </c>
      <c r="AV10" s="32">
        <v>159</v>
      </c>
      <c r="AW10" s="32">
        <v>57</v>
      </c>
      <c r="AX10" s="32">
        <v>216</v>
      </c>
      <c r="AY10" s="32">
        <v>73.611111109999996</v>
      </c>
      <c r="AZ10" s="32">
        <v>1.358490566</v>
      </c>
      <c r="BA10" s="32">
        <v>0.47</v>
      </c>
      <c r="BB10" s="32">
        <v>39.5</v>
      </c>
      <c r="BC10" s="32">
        <v>0.08</v>
      </c>
      <c r="BD10" s="32">
        <v>61.00628931</v>
      </c>
      <c r="BE10" s="32">
        <v>38.99371069</v>
      </c>
      <c r="BF10" s="32">
        <v>21</v>
      </c>
      <c r="BG10" s="32">
        <v>4.6190476189999998</v>
      </c>
      <c r="BH10" s="32">
        <v>63.952380949999998</v>
      </c>
      <c r="BI10" s="32">
        <v>1.2261978140000001</v>
      </c>
      <c r="BJ10" s="32">
        <v>182.67113449999999</v>
      </c>
      <c r="BK10" s="32">
        <v>0</v>
      </c>
      <c r="BL10" s="32">
        <v>14.255187579999999</v>
      </c>
      <c r="BM10" s="32">
        <v>23.07692308</v>
      </c>
      <c r="BN10" s="32">
        <v>76.92307692</v>
      </c>
      <c r="BO10" s="32">
        <v>13</v>
      </c>
      <c r="BP10" s="32">
        <v>1</v>
      </c>
      <c r="BQ10" s="32">
        <v>3</v>
      </c>
      <c r="BR10" s="32">
        <v>44</v>
      </c>
      <c r="BS10" s="32">
        <v>5.8390372000000003E-2</v>
      </c>
      <c r="BT10" s="32">
        <v>36.111111110000003</v>
      </c>
      <c r="BU10" s="32">
        <v>64.383561639999996</v>
      </c>
      <c r="BV10" s="32">
        <v>35.616438359999997</v>
      </c>
      <c r="BW10" s="32">
        <v>146</v>
      </c>
      <c r="BX10" s="32">
        <v>20</v>
      </c>
      <c r="BY10" s="32">
        <v>4.7</v>
      </c>
      <c r="BZ10" s="32">
        <v>64.95</v>
      </c>
      <c r="CA10" s="32">
        <v>1.829454213</v>
      </c>
      <c r="CB10" s="32">
        <v>81.111111109999996</v>
      </c>
      <c r="CC10" s="32">
        <v>359</v>
      </c>
      <c r="CD10" s="32">
        <v>187</v>
      </c>
      <c r="CE10" s="32">
        <v>546</v>
      </c>
      <c r="CF10" s="32">
        <v>65.750915750000004</v>
      </c>
      <c r="CG10" s="32">
        <v>5.8709677420000004</v>
      </c>
      <c r="CH10" s="32">
        <v>3</v>
      </c>
      <c r="CI10" s="32">
        <v>22</v>
      </c>
      <c r="CJ10" s="32">
        <v>48.989446340000001</v>
      </c>
      <c r="CK10" s="32">
        <v>24.302157999999999</v>
      </c>
      <c r="CL10" s="32">
        <v>3.6109827139999999</v>
      </c>
      <c r="CM10" s="32">
        <v>2.5387074850000002</v>
      </c>
      <c r="CN10" s="32">
        <v>3.8195850230000001</v>
      </c>
      <c r="CO10" s="32">
        <v>2.708362191</v>
      </c>
      <c r="CP10" s="32">
        <v>0.122771068</v>
      </c>
      <c r="CQ10" s="32">
        <v>1.319973938</v>
      </c>
      <c r="CR10" s="32">
        <v>4.693539887</v>
      </c>
      <c r="CS10" s="32">
        <v>0.57543856800000004</v>
      </c>
      <c r="CT10" s="32">
        <v>0.58530812399999999</v>
      </c>
      <c r="CU10" s="32">
        <v>-0.34071054200000001</v>
      </c>
      <c r="CV10" s="32">
        <v>0.10963508800000001</v>
      </c>
    </row>
    <row r="11" spans="1:100" x14ac:dyDescent="0.2">
      <c r="A11" s="24">
        <v>10</v>
      </c>
      <c r="B11" s="24" t="s">
        <v>195</v>
      </c>
      <c r="C11" s="24" t="s">
        <v>80</v>
      </c>
      <c r="D11" s="32">
        <v>25.37</v>
      </c>
      <c r="E11" s="32">
        <v>0.23</v>
      </c>
      <c r="F11" s="32">
        <v>0.91</v>
      </c>
      <c r="G11" s="33">
        <v>0.13</v>
      </c>
      <c r="H11" s="24"/>
      <c r="I11" s="34">
        <v>0.31169999999999998</v>
      </c>
      <c r="J11" s="32">
        <v>8.4499999999999993</v>
      </c>
      <c r="K11" s="32">
        <v>15</v>
      </c>
      <c r="L11" s="32">
        <v>0</v>
      </c>
      <c r="M11" s="32">
        <v>1</v>
      </c>
      <c r="N11" s="32">
        <v>4</v>
      </c>
      <c r="O11" s="32">
        <v>0</v>
      </c>
      <c r="P11" s="32">
        <v>1</v>
      </c>
      <c r="Q11" s="32">
        <v>0.74193548399999998</v>
      </c>
      <c r="R11" s="32">
        <v>0.50819672100000002</v>
      </c>
      <c r="S11" s="32">
        <v>0.69047619000000005</v>
      </c>
      <c r="T11" s="32">
        <v>435</v>
      </c>
      <c r="U11" s="32">
        <v>738</v>
      </c>
      <c r="V11" s="32">
        <v>1.6965517240000001</v>
      </c>
      <c r="W11" s="32">
        <v>1.25</v>
      </c>
      <c r="X11" s="32">
        <v>0.13</v>
      </c>
      <c r="Y11" s="32">
        <v>152.10898230000001</v>
      </c>
      <c r="Z11" s="32">
        <v>0.61538461499999997</v>
      </c>
      <c r="AA11" s="32">
        <v>0.76014760100000001</v>
      </c>
      <c r="AB11" s="32">
        <v>0.25</v>
      </c>
      <c r="AC11" s="32">
        <v>0.54716981099999995</v>
      </c>
      <c r="AD11" s="32">
        <v>0.5</v>
      </c>
      <c r="AE11" s="32">
        <v>0.70499999999999996</v>
      </c>
      <c r="AF11" s="32">
        <v>0.87567567599999996</v>
      </c>
      <c r="AG11" s="32">
        <v>0.428571429</v>
      </c>
      <c r="AH11" s="32">
        <v>0.68181818199999999</v>
      </c>
      <c r="AI11" s="32">
        <v>236</v>
      </c>
      <c r="AJ11" s="32">
        <v>430</v>
      </c>
      <c r="AK11" s="32">
        <v>1.8220338979999999</v>
      </c>
      <c r="AL11" s="32">
        <v>0.47</v>
      </c>
      <c r="AM11" s="32">
        <v>0.11</v>
      </c>
      <c r="AN11" s="32">
        <v>124.4865949</v>
      </c>
      <c r="AO11" s="32">
        <v>0.89743589700000004</v>
      </c>
      <c r="AP11" s="32">
        <v>0.86986301399999999</v>
      </c>
      <c r="AQ11" s="32">
        <v>0.25</v>
      </c>
      <c r="AR11" s="32">
        <v>0.45833333300000001</v>
      </c>
      <c r="AS11" s="32">
        <v>0.7</v>
      </c>
      <c r="AT11" s="32">
        <v>0.64545454499999999</v>
      </c>
      <c r="AU11" s="32">
        <v>150</v>
      </c>
      <c r="AV11" s="32">
        <v>150</v>
      </c>
      <c r="AW11" s="32">
        <v>108</v>
      </c>
      <c r="AX11" s="32">
        <v>258</v>
      </c>
      <c r="AY11" s="32">
        <v>58.139534879999999</v>
      </c>
      <c r="AZ11" s="32">
        <v>1.72</v>
      </c>
      <c r="BA11" s="32">
        <v>0.71</v>
      </c>
      <c r="BB11" s="32">
        <v>20</v>
      </c>
      <c r="BC11" s="32">
        <v>0.14000000000000001</v>
      </c>
      <c r="BD11" s="32">
        <v>60.666666669999998</v>
      </c>
      <c r="BE11" s="32">
        <v>39.333333330000002</v>
      </c>
      <c r="BF11" s="32">
        <v>14</v>
      </c>
      <c r="BG11" s="32">
        <v>6.5</v>
      </c>
      <c r="BH11" s="32">
        <v>79.428571430000005</v>
      </c>
      <c r="BI11" s="32">
        <v>0.63683000199999995</v>
      </c>
      <c r="BJ11" s="32">
        <v>163.3991048</v>
      </c>
      <c r="BK11" s="32">
        <v>1</v>
      </c>
      <c r="BL11" s="32">
        <v>10.438501090000001</v>
      </c>
      <c r="BM11" s="32">
        <v>84.61538462</v>
      </c>
      <c r="BN11" s="32">
        <v>15.38461538</v>
      </c>
      <c r="BO11" s="32">
        <v>39</v>
      </c>
      <c r="BP11" s="32">
        <v>6</v>
      </c>
      <c r="BQ11" s="32">
        <v>5.5</v>
      </c>
      <c r="BR11" s="32">
        <v>66</v>
      </c>
      <c r="BS11" s="32">
        <v>0.27292714400000001</v>
      </c>
      <c r="BT11" s="32">
        <v>76.470588239999998</v>
      </c>
      <c r="BU11" s="32">
        <v>52.252252249999998</v>
      </c>
      <c r="BV11" s="32">
        <v>47.747747750000002</v>
      </c>
      <c r="BW11" s="32">
        <v>111</v>
      </c>
      <c r="BX11" s="32">
        <v>8</v>
      </c>
      <c r="BY11" s="32">
        <v>7.25</v>
      </c>
      <c r="BZ11" s="32">
        <v>89.5</v>
      </c>
      <c r="CA11" s="32">
        <v>0.72560530099999998</v>
      </c>
      <c r="CB11" s="32">
        <v>53.623188409999997</v>
      </c>
      <c r="CC11" s="32">
        <v>1016</v>
      </c>
      <c r="CD11" s="32">
        <v>334</v>
      </c>
      <c r="CE11" s="32">
        <v>1350</v>
      </c>
      <c r="CF11" s="32">
        <v>75.259259259999993</v>
      </c>
      <c r="CG11" s="32">
        <v>9.375</v>
      </c>
      <c r="CH11" s="32">
        <v>6</v>
      </c>
      <c r="CI11" s="32">
        <v>17</v>
      </c>
      <c r="CJ11" s="32">
        <v>76.043786789999999</v>
      </c>
      <c r="CK11" s="32">
        <v>18.64184638</v>
      </c>
      <c r="CL11" s="32">
        <v>6.5490925830000002</v>
      </c>
      <c r="CM11" s="32">
        <v>2.3583996730000001</v>
      </c>
      <c r="CN11" s="32">
        <v>6.8013597240000001</v>
      </c>
      <c r="CO11" s="32">
        <v>2.4559131989999998</v>
      </c>
      <c r="CP11" s="32">
        <v>-4.8256212E-2</v>
      </c>
      <c r="CQ11" s="32">
        <v>1.230778669</v>
      </c>
      <c r="CR11" s="32">
        <v>4.580862733</v>
      </c>
      <c r="CS11" s="32">
        <v>0.466248669</v>
      </c>
      <c r="CT11" s="32">
        <v>0.42440294499999998</v>
      </c>
      <c r="CU11" s="32">
        <v>-0.51174401700000005</v>
      </c>
      <c r="CV11" s="32">
        <v>8.6221053000000006E-2</v>
      </c>
    </row>
    <row r="12" spans="1:100" x14ac:dyDescent="0.2">
      <c r="A12" s="24">
        <v>11</v>
      </c>
      <c r="B12" s="24" t="s">
        <v>196</v>
      </c>
      <c r="C12" s="24" t="s">
        <v>80</v>
      </c>
      <c r="D12" s="32">
        <v>28.99</v>
      </c>
      <c r="E12" s="32">
        <v>0.16</v>
      </c>
      <c r="F12" s="32">
        <v>0.98</v>
      </c>
      <c r="G12" s="33">
        <v>0.91</v>
      </c>
      <c r="H12" s="24"/>
      <c r="I12" s="34">
        <v>0.30590000000000001</v>
      </c>
      <c r="J12" s="32">
        <v>8.77</v>
      </c>
      <c r="K12" s="32">
        <v>13</v>
      </c>
      <c r="L12" s="32">
        <v>0</v>
      </c>
      <c r="M12" s="32">
        <v>1</v>
      </c>
      <c r="N12" s="32">
        <v>1</v>
      </c>
      <c r="O12" s="32">
        <v>9</v>
      </c>
      <c r="P12" s="32">
        <v>-0.8</v>
      </c>
      <c r="Q12" s="32">
        <v>0.73619631900000004</v>
      </c>
      <c r="R12" s="32">
        <v>0.49180327899999998</v>
      </c>
      <c r="S12" s="32">
        <v>0.72380952399999998</v>
      </c>
      <c r="T12" s="32">
        <v>423</v>
      </c>
      <c r="U12" s="32">
        <v>711</v>
      </c>
      <c r="V12" s="32">
        <v>1.6808510640000001</v>
      </c>
      <c r="W12" s="32">
        <v>0.95</v>
      </c>
      <c r="X12" s="32">
        <v>0.13</v>
      </c>
      <c r="Y12" s="32">
        <v>145.1806655</v>
      </c>
      <c r="Z12" s="32">
        <v>0.79166666699999999</v>
      </c>
      <c r="AA12" s="32">
        <v>0.71936758899999997</v>
      </c>
      <c r="AB12" s="32">
        <v>0.5</v>
      </c>
      <c r="AC12" s="32">
        <v>0.489795918</v>
      </c>
      <c r="AD12" s="32">
        <v>0.78333333299999997</v>
      </c>
      <c r="AE12" s="32">
        <v>0.6875</v>
      </c>
      <c r="AF12" s="32">
        <v>0.804511278</v>
      </c>
      <c r="AG12" s="32">
        <v>0.56000000000000005</v>
      </c>
      <c r="AH12" s="32">
        <v>0.71250000000000002</v>
      </c>
      <c r="AI12" s="32">
        <v>168</v>
      </c>
      <c r="AJ12" s="32">
        <v>315</v>
      </c>
      <c r="AK12" s="32">
        <v>1.875</v>
      </c>
      <c r="AL12" s="32">
        <v>0.47</v>
      </c>
      <c r="AM12" s="32">
        <v>0.12</v>
      </c>
      <c r="AN12" s="32">
        <v>94.174707190000007</v>
      </c>
      <c r="AO12" s="32">
        <v>0.9</v>
      </c>
      <c r="AP12" s="32">
        <v>0.77669902899999999</v>
      </c>
      <c r="AQ12" s="32">
        <v>0.4</v>
      </c>
      <c r="AR12" s="32">
        <v>0.6</v>
      </c>
      <c r="AS12" s="32">
        <v>0.72499999999999998</v>
      </c>
      <c r="AT12" s="32">
        <v>0.7</v>
      </c>
      <c r="AU12" s="32">
        <v>148</v>
      </c>
      <c r="AV12" s="32">
        <v>148</v>
      </c>
      <c r="AW12" s="32">
        <v>85</v>
      </c>
      <c r="AX12" s="32">
        <v>233</v>
      </c>
      <c r="AY12" s="32">
        <v>63.5193133</v>
      </c>
      <c r="AZ12" s="32">
        <v>1.574324324</v>
      </c>
      <c r="BA12" s="32">
        <v>0.53</v>
      </c>
      <c r="BB12" s="32">
        <v>31</v>
      </c>
      <c r="BC12" s="32">
        <v>0.12</v>
      </c>
      <c r="BD12" s="32">
        <v>73.648648649999998</v>
      </c>
      <c r="BE12" s="32">
        <v>26.351351350000002</v>
      </c>
      <c r="BF12" s="32">
        <v>23</v>
      </c>
      <c r="BG12" s="32">
        <v>4.7391304349999999</v>
      </c>
      <c r="BH12" s="32">
        <v>79.565217390000001</v>
      </c>
      <c r="BI12" s="32">
        <v>1.0111248150000001</v>
      </c>
      <c r="BJ12" s="32">
        <v>156.06707840000001</v>
      </c>
      <c r="BK12" s="32">
        <v>1</v>
      </c>
      <c r="BL12" s="32">
        <v>15.215554879999999</v>
      </c>
      <c r="BM12" s="32">
        <v>58.823529409999999</v>
      </c>
      <c r="BN12" s="32">
        <v>41.176470590000001</v>
      </c>
      <c r="BO12" s="32">
        <v>34</v>
      </c>
      <c r="BP12" s="32">
        <v>4</v>
      </c>
      <c r="BQ12" s="32">
        <v>5</v>
      </c>
      <c r="BR12" s="32">
        <v>73</v>
      </c>
      <c r="BS12" s="32">
        <v>0.175847794</v>
      </c>
      <c r="BT12" s="32">
        <v>50.746268659999998</v>
      </c>
      <c r="BU12" s="32">
        <v>78.07017544</v>
      </c>
      <c r="BV12" s="32">
        <v>21.92982456</v>
      </c>
      <c r="BW12" s="32">
        <v>114</v>
      </c>
      <c r="BX12" s="32">
        <v>19</v>
      </c>
      <c r="BY12" s="32">
        <v>4.6842105260000002</v>
      </c>
      <c r="BZ12" s="32">
        <v>80.947368420000004</v>
      </c>
      <c r="CA12" s="32">
        <v>1.6585838989999999</v>
      </c>
      <c r="CB12" s="32">
        <v>68.674698800000002</v>
      </c>
      <c r="CC12" s="32">
        <v>807</v>
      </c>
      <c r="CD12" s="32">
        <v>203</v>
      </c>
      <c r="CE12" s="32">
        <v>1010</v>
      </c>
      <c r="CF12" s="32">
        <v>79.900990100000001</v>
      </c>
      <c r="CG12" s="32">
        <v>7.5939849620000004</v>
      </c>
      <c r="CH12" s="32">
        <v>5</v>
      </c>
      <c r="CI12" s="32">
        <v>20</v>
      </c>
      <c r="CJ12" s="32">
        <v>69.346915620000004</v>
      </c>
      <c r="CK12" s="32">
        <v>21.752422549999999</v>
      </c>
      <c r="CL12" s="32">
        <v>5.2589589500000002</v>
      </c>
      <c r="CM12" s="32">
        <v>2.6603721839999999</v>
      </c>
      <c r="CN12" s="32">
        <v>5.4422501030000001</v>
      </c>
      <c r="CO12" s="32">
        <v>2.7691183709999998</v>
      </c>
      <c r="CP12" s="32">
        <v>-0.25129236500000002</v>
      </c>
      <c r="CQ12" s="32">
        <v>0.77998930799999999</v>
      </c>
      <c r="CR12" s="32">
        <v>3.520419908</v>
      </c>
      <c r="CS12" s="32">
        <v>0.23690898199999999</v>
      </c>
      <c r="CT12" s="32">
        <v>4.8551733E-2</v>
      </c>
      <c r="CU12" s="32">
        <v>-0.549966281</v>
      </c>
      <c r="CV12" s="32">
        <v>5.7248251999999999E-2</v>
      </c>
    </row>
    <row r="13" spans="1:100" x14ac:dyDescent="0.2">
      <c r="A13" s="24">
        <v>12</v>
      </c>
      <c r="B13" s="24" t="s">
        <v>197</v>
      </c>
      <c r="C13" s="24" t="s">
        <v>80</v>
      </c>
      <c r="D13" s="32">
        <v>27.35</v>
      </c>
      <c r="E13" s="32">
        <v>1.1000000000000001</v>
      </c>
      <c r="F13" s="32">
        <v>1.1100000000000001</v>
      </c>
      <c r="G13" s="33">
        <v>0.23</v>
      </c>
      <c r="H13" s="24"/>
      <c r="I13" s="34">
        <v>0.2059</v>
      </c>
      <c r="J13" s="32">
        <v>5.63</v>
      </c>
      <c r="K13" s="32">
        <v>2</v>
      </c>
      <c r="L13" s="32">
        <v>3</v>
      </c>
      <c r="M13" s="32">
        <v>-0.2</v>
      </c>
      <c r="N13" s="32">
        <v>4</v>
      </c>
      <c r="O13" s="32">
        <v>1</v>
      </c>
      <c r="P13" s="32">
        <v>0.6</v>
      </c>
      <c r="Q13" s="32">
        <v>0.73793103400000004</v>
      </c>
      <c r="R13" s="32">
        <v>0.58620689699999995</v>
      </c>
      <c r="S13" s="32">
        <v>0.79444444400000003</v>
      </c>
      <c r="T13" s="32">
        <v>371</v>
      </c>
      <c r="U13" s="32">
        <v>629</v>
      </c>
      <c r="V13" s="32">
        <v>1.69541779</v>
      </c>
      <c r="W13" s="32">
        <v>1.43</v>
      </c>
      <c r="X13" s="32">
        <v>0.13</v>
      </c>
      <c r="Y13" s="32">
        <v>129.13965719999999</v>
      </c>
      <c r="Z13" s="32">
        <v>0.70270270300000004</v>
      </c>
      <c r="AA13" s="32">
        <v>0.74654377900000002</v>
      </c>
      <c r="AB13" s="32">
        <v>0.46153846199999998</v>
      </c>
      <c r="AC13" s="32">
        <v>0.62222222199999999</v>
      </c>
      <c r="AD13" s="32">
        <v>0.57499999999999996</v>
      </c>
      <c r="AE13" s="32">
        <v>0.78</v>
      </c>
      <c r="AF13" s="32">
        <v>0.89328063199999996</v>
      </c>
      <c r="AG13" s="32">
        <v>0.46511627900000002</v>
      </c>
      <c r="AH13" s="32">
        <v>0.69285714300000001</v>
      </c>
      <c r="AI13" s="32">
        <v>303</v>
      </c>
      <c r="AJ13" s="32">
        <v>567</v>
      </c>
      <c r="AK13" s="32">
        <v>1.8712871289999999</v>
      </c>
      <c r="AL13" s="32">
        <v>0.53</v>
      </c>
      <c r="AM13" s="32">
        <v>0.14000000000000001</v>
      </c>
      <c r="AN13" s="32">
        <v>160.7506018</v>
      </c>
      <c r="AO13" s="32">
        <v>0.93333333299999999</v>
      </c>
      <c r="AP13" s="32">
        <v>0.88461538500000003</v>
      </c>
      <c r="AQ13" s="32">
        <v>0.5</v>
      </c>
      <c r="AR13" s="32">
        <v>0.45161290300000001</v>
      </c>
      <c r="AS13" s="32">
        <v>0.75</v>
      </c>
      <c r="AT13" s="32">
        <v>0.65</v>
      </c>
      <c r="AU13" s="32">
        <v>174</v>
      </c>
      <c r="AV13" s="32">
        <v>174</v>
      </c>
      <c r="AW13" s="32">
        <v>98</v>
      </c>
      <c r="AX13" s="32">
        <v>272</v>
      </c>
      <c r="AY13" s="32">
        <v>63.970588239999998</v>
      </c>
      <c r="AZ13" s="32">
        <v>1.5632183909999999</v>
      </c>
      <c r="BA13" s="32">
        <v>0.59</v>
      </c>
      <c r="BB13" s="32">
        <v>24</v>
      </c>
      <c r="BC13" s="32">
        <v>0.105</v>
      </c>
      <c r="BD13" s="32">
        <v>67.816091950000001</v>
      </c>
      <c r="BE13" s="32">
        <v>32.183908049999999</v>
      </c>
      <c r="BF13" s="32">
        <v>16</v>
      </c>
      <c r="BG13" s="32">
        <v>7.375</v>
      </c>
      <c r="BH13" s="32">
        <v>132.25</v>
      </c>
      <c r="BI13" s="32">
        <v>0.71320670600000002</v>
      </c>
      <c r="BJ13" s="32">
        <v>185.94434140000001</v>
      </c>
      <c r="BK13" s="32">
        <v>1</v>
      </c>
      <c r="BL13" s="32">
        <v>18.384773840000001</v>
      </c>
      <c r="BM13" s="32">
        <v>72</v>
      </c>
      <c r="BN13" s="32">
        <v>28</v>
      </c>
      <c r="BO13" s="32">
        <v>25</v>
      </c>
      <c r="BP13" s="32">
        <v>3</v>
      </c>
      <c r="BQ13" s="32">
        <v>6</v>
      </c>
      <c r="BR13" s="32">
        <v>116.66666669999999</v>
      </c>
      <c r="BS13" s="32">
        <v>0.13372625699999999</v>
      </c>
      <c r="BT13" s="32">
        <v>86.206896549999996</v>
      </c>
      <c r="BU13" s="32">
        <v>67.114093960000005</v>
      </c>
      <c r="BV13" s="32">
        <v>32.885906040000002</v>
      </c>
      <c r="BW13" s="32">
        <v>149</v>
      </c>
      <c r="BX13" s="32">
        <v>13</v>
      </c>
      <c r="BY13" s="32">
        <v>7.692307692</v>
      </c>
      <c r="BZ13" s="32">
        <v>135.8461538</v>
      </c>
      <c r="CA13" s="32">
        <v>1.163976422</v>
      </c>
      <c r="CB13" s="32">
        <v>61.316872429999997</v>
      </c>
      <c r="CC13" s="32">
        <v>2040</v>
      </c>
      <c r="CD13" s="32">
        <v>573</v>
      </c>
      <c r="CE13" s="32">
        <v>2613</v>
      </c>
      <c r="CF13" s="32">
        <v>78.071182550000003</v>
      </c>
      <c r="CG13" s="32">
        <v>13.973262030000001</v>
      </c>
      <c r="CH13" s="32">
        <v>7</v>
      </c>
      <c r="CI13" s="32">
        <v>15</v>
      </c>
      <c r="CJ13" s="32">
        <v>98.079304570000005</v>
      </c>
      <c r="CK13" s="32">
        <v>17.027391649999998</v>
      </c>
      <c r="CL13" s="32">
        <v>8.2129658560000003</v>
      </c>
      <c r="CM13" s="32">
        <v>1.8304471769999999</v>
      </c>
      <c r="CN13" s="32">
        <v>8.9118753300000009</v>
      </c>
      <c r="CO13" s="32">
        <v>1.947772997</v>
      </c>
      <c r="CP13" s="32">
        <v>-0.102604604</v>
      </c>
      <c r="CQ13" s="32">
        <v>1.1297317469999999</v>
      </c>
      <c r="CR13" s="32">
        <v>4.4672006370000004</v>
      </c>
      <c r="CS13" s="32">
        <v>0.37913619300000001</v>
      </c>
      <c r="CT13" s="32">
        <v>0.359089035</v>
      </c>
      <c r="CU13" s="32">
        <v>-0.558988916</v>
      </c>
      <c r="CV13" s="32">
        <v>7.8513985999999994E-2</v>
      </c>
    </row>
    <row r="14" spans="1:100" x14ac:dyDescent="0.2">
      <c r="A14" s="24">
        <v>13</v>
      </c>
      <c r="B14" s="24" t="s">
        <v>198</v>
      </c>
      <c r="C14" s="24" t="s">
        <v>80</v>
      </c>
      <c r="D14" s="32">
        <v>26.36</v>
      </c>
      <c r="E14" s="32">
        <v>-0.28000000000000003</v>
      </c>
      <c r="F14" s="32">
        <v>0.99</v>
      </c>
      <c r="G14" s="33">
        <v>0.63</v>
      </c>
      <c r="H14" s="24"/>
      <c r="I14" s="34">
        <v>0.2382</v>
      </c>
      <c r="J14" s="32">
        <v>6.52</v>
      </c>
      <c r="K14" s="32">
        <v>9</v>
      </c>
      <c r="L14" s="32">
        <v>0</v>
      </c>
      <c r="M14" s="32">
        <v>1</v>
      </c>
      <c r="N14" s="32">
        <v>5</v>
      </c>
      <c r="O14" s="32">
        <v>4</v>
      </c>
      <c r="P14" s="32">
        <v>0.11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32">
        <v>0.83919597999999995</v>
      </c>
      <c r="AG14" s="32">
        <v>0.48</v>
      </c>
      <c r="AH14" s="32">
        <v>0.68333333299999999</v>
      </c>
      <c r="AI14" s="32">
        <v>258</v>
      </c>
      <c r="AJ14" s="32">
        <v>497</v>
      </c>
      <c r="AK14" s="32">
        <v>1.9263565890000001</v>
      </c>
      <c r="AL14" s="32">
        <v>0.83</v>
      </c>
      <c r="AM14" s="32">
        <v>0.13</v>
      </c>
      <c r="AN14" s="32">
        <v>136.1610633</v>
      </c>
      <c r="AO14" s="32">
        <v>0.85294117599999997</v>
      </c>
      <c r="AP14" s="32">
        <v>0.83636363599999997</v>
      </c>
      <c r="AQ14" s="32">
        <v>0.33333333300000001</v>
      </c>
      <c r="AR14" s="32">
        <v>0.52631578899999998</v>
      </c>
      <c r="AS14" s="32">
        <v>0.25</v>
      </c>
      <c r="AT14" s="32">
        <v>0.69090909099999998</v>
      </c>
      <c r="AU14" s="32">
        <v>161</v>
      </c>
      <c r="AV14" s="32">
        <v>161</v>
      </c>
      <c r="AW14" s="32">
        <v>119</v>
      </c>
      <c r="AX14" s="32">
        <v>280</v>
      </c>
      <c r="AY14" s="32">
        <v>57.5</v>
      </c>
      <c r="AZ14" s="32">
        <v>1.7391304350000001</v>
      </c>
      <c r="BA14" s="32">
        <v>0.59</v>
      </c>
      <c r="BB14" s="32">
        <v>26.5</v>
      </c>
      <c r="BC14" s="32">
        <v>0.11</v>
      </c>
      <c r="BD14" s="32">
        <v>68.322981369999994</v>
      </c>
      <c r="BE14" s="32">
        <v>31.677018629999999</v>
      </c>
      <c r="BF14" s="32">
        <v>16</v>
      </c>
      <c r="BG14" s="32">
        <v>6.875</v>
      </c>
      <c r="BH14" s="32">
        <v>111.875</v>
      </c>
      <c r="BI14" s="32">
        <v>0.765702891</v>
      </c>
      <c r="BJ14" s="32">
        <v>184.43669539999999</v>
      </c>
      <c r="BK14" s="32">
        <v>10</v>
      </c>
      <c r="BL14" s="32">
        <v>20.56183957</v>
      </c>
      <c r="BM14" s="32">
        <v>70.270270269999997</v>
      </c>
      <c r="BN14" s="32">
        <v>29.729729729999999</v>
      </c>
      <c r="BO14" s="32">
        <v>37</v>
      </c>
      <c r="BP14" s="32">
        <v>4</v>
      </c>
      <c r="BQ14" s="32">
        <v>6.5</v>
      </c>
      <c r="BR14" s="32">
        <v>129.25</v>
      </c>
      <c r="BS14" s="32">
        <v>0.19142572299999999</v>
      </c>
      <c r="BT14" s="32">
        <v>82.608695650000001</v>
      </c>
      <c r="BU14" s="32">
        <v>67.741935479999995</v>
      </c>
      <c r="BV14" s="32">
        <v>32.258064519999998</v>
      </c>
      <c r="BW14" s="32">
        <v>124</v>
      </c>
      <c r="BX14" s="32">
        <v>12</v>
      </c>
      <c r="BY14" s="32">
        <v>7</v>
      </c>
      <c r="BZ14" s="32">
        <v>106.08333330000001</v>
      </c>
      <c r="CA14" s="32">
        <v>1.027323964</v>
      </c>
      <c r="CB14" s="32">
        <v>52.564102560000002</v>
      </c>
      <c r="CC14" s="32">
        <v>1247</v>
      </c>
      <c r="CD14" s="32">
        <v>394</v>
      </c>
      <c r="CE14" s="32">
        <v>1641</v>
      </c>
      <c r="CF14" s="32">
        <v>75.990249849999998</v>
      </c>
      <c r="CG14" s="32">
        <v>10.38607595</v>
      </c>
      <c r="CH14" s="32">
        <v>5</v>
      </c>
      <c r="CI14" s="32">
        <v>21</v>
      </c>
      <c r="CJ14" s="32">
        <v>82.269845480000001</v>
      </c>
      <c r="CK14" s="32">
        <v>24.08866111</v>
      </c>
      <c r="CL14" s="32">
        <v>4.9656433760000001</v>
      </c>
      <c r="CM14" s="32">
        <v>2.0901767640000002</v>
      </c>
      <c r="CN14" s="32">
        <v>5.5080146220000001</v>
      </c>
      <c r="CO14" s="32">
        <v>2.2771989760000002</v>
      </c>
      <c r="CP14" s="24"/>
      <c r="CQ14" s="24"/>
      <c r="CR14" s="24"/>
      <c r="CS14" s="24"/>
      <c r="CT14" s="24"/>
      <c r="CU14" s="24"/>
      <c r="CV14" s="24"/>
    </row>
    <row r="15" spans="1:100" x14ac:dyDescent="0.2">
      <c r="A15" s="24">
        <v>14</v>
      </c>
      <c r="B15" s="24" t="s">
        <v>199</v>
      </c>
      <c r="C15" s="24" t="s">
        <v>80</v>
      </c>
      <c r="D15" s="32">
        <v>24.77</v>
      </c>
      <c r="E15" s="32">
        <v>1.47</v>
      </c>
      <c r="F15" s="32">
        <v>0.99</v>
      </c>
      <c r="G15" s="33">
        <v>0.56999999999999995</v>
      </c>
      <c r="H15" s="24"/>
      <c r="I15" s="34">
        <v>0.47099999999999997</v>
      </c>
      <c r="J15" s="32">
        <v>12.16</v>
      </c>
      <c r="K15" s="32">
        <v>11</v>
      </c>
      <c r="L15" s="32">
        <v>0</v>
      </c>
      <c r="M15" s="32">
        <v>1</v>
      </c>
      <c r="N15" s="32">
        <v>3</v>
      </c>
      <c r="O15" s="32">
        <v>4</v>
      </c>
      <c r="P15" s="32">
        <v>-0.14000000000000001</v>
      </c>
      <c r="Q15" s="32">
        <v>0.73129251699999998</v>
      </c>
      <c r="R15" s="32">
        <v>0.41489361699999999</v>
      </c>
      <c r="S15" s="32">
        <v>0.78421052599999996</v>
      </c>
      <c r="T15" s="32">
        <v>404</v>
      </c>
      <c r="U15" s="32">
        <v>739</v>
      </c>
      <c r="V15" s="32">
        <v>1.8292079210000001</v>
      </c>
      <c r="W15" s="32">
        <v>0.77</v>
      </c>
      <c r="X15" s="32">
        <v>0.13</v>
      </c>
      <c r="Y15" s="32">
        <v>141.6106839</v>
      </c>
      <c r="Z15" s="32">
        <v>0.88636363600000001</v>
      </c>
      <c r="AA15" s="32">
        <v>0.70399999999999996</v>
      </c>
      <c r="AB15" s="32">
        <v>0.222222222</v>
      </c>
      <c r="AC15" s="32">
        <v>0.43529411800000001</v>
      </c>
      <c r="AD15" s="32">
        <v>0.9</v>
      </c>
      <c r="AE15" s="32">
        <v>0.71111111100000002</v>
      </c>
      <c r="AF15" s="32">
        <v>0.846938776</v>
      </c>
      <c r="AG15" s="32">
        <v>0.5</v>
      </c>
      <c r="AH15" s="32">
        <v>0.7</v>
      </c>
      <c r="AI15" s="32">
        <v>271</v>
      </c>
      <c r="AJ15" s="32">
        <v>476</v>
      </c>
      <c r="AK15" s="32">
        <v>1.7564575650000001</v>
      </c>
      <c r="AL15" s="32">
        <v>0.53</v>
      </c>
      <c r="AM15" s="32">
        <v>0.12</v>
      </c>
      <c r="AN15" s="32">
        <v>143.38887769999999</v>
      </c>
      <c r="AO15" s="32">
        <v>0.87179487200000005</v>
      </c>
      <c r="AP15" s="32">
        <v>0.84076433100000003</v>
      </c>
      <c r="AQ15" s="32">
        <v>0.75</v>
      </c>
      <c r="AR15" s="32">
        <v>0.47916666699999999</v>
      </c>
      <c r="AS15" s="32">
        <v>0.9</v>
      </c>
      <c r="AT15" s="32">
        <v>0.66</v>
      </c>
      <c r="AU15" s="32">
        <v>178</v>
      </c>
      <c r="AV15" s="32">
        <v>178</v>
      </c>
      <c r="AW15" s="32">
        <v>94</v>
      </c>
      <c r="AX15" s="32">
        <v>272</v>
      </c>
      <c r="AY15" s="32">
        <v>65.441176470000002</v>
      </c>
      <c r="AZ15" s="32">
        <v>1.528089888</v>
      </c>
      <c r="BA15" s="32">
        <v>0.65</v>
      </c>
      <c r="BB15" s="32">
        <v>92</v>
      </c>
      <c r="BC15" s="32">
        <v>0.11</v>
      </c>
      <c r="BD15" s="32">
        <v>43.258426970000002</v>
      </c>
      <c r="BE15" s="32">
        <v>56.741573029999998</v>
      </c>
      <c r="BF15" s="32">
        <v>16</v>
      </c>
      <c r="BG15" s="32">
        <v>4.8125</v>
      </c>
      <c r="BH15" s="32">
        <v>72.625</v>
      </c>
      <c r="BI15" s="32">
        <v>0.713312693</v>
      </c>
      <c r="BJ15" s="32">
        <v>189.10092470000001</v>
      </c>
      <c r="BK15" s="32">
        <v>21</v>
      </c>
      <c r="BL15" s="32">
        <v>14.03207898</v>
      </c>
      <c r="BM15" s="32">
        <v>73.07692308</v>
      </c>
      <c r="BN15" s="32">
        <v>26.92307692</v>
      </c>
      <c r="BO15" s="32">
        <v>26</v>
      </c>
      <c r="BP15" s="32">
        <v>4</v>
      </c>
      <c r="BQ15" s="32">
        <v>4.75</v>
      </c>
      <c r="BR15" s="32">
        <v>76.75</v>
      </c>
      <c r="BS15" s="32">
        <v>0.17832817300000001</v>
      </c>
      <c r="BT15" s="32">
        <v>60.465116279999997</v>
      </c>
      <c r="BU15" s="32">
        <v>38.157894740000003</v>
      </c>
      <c r="BV15" s="32">
        <v>61.842105259999997</v>
      </c>
      <c r="BW15" s="32">
        <v>152</v>
      </c>
      <c r="BX15" s="32">
        <v>12</v>
      </c>
      <c r="BY15" s="32">
        <v>4.8333333329999997</v>
      </c>
      <c r="BZ15" s="32">
        <v>71.25</v>
      </c>
      <c r="CA15" s="32">
        <v>1.0125870189999999</v>
      </c>
      <c r="CB15" s="32">
        <v>66.375545849999995</v>
      </c>
      <c r="CC15" s="32">
        <v>1064</v>
      </c>
      <c r="CD15" s="32">
        <v>409</v>
      </c>
      <c r="CE15" s="32">
        <v>1473</v>
      </c>
      <c r="CF15" s="32">
        <v>72.233536999999998</v>
      </c>
      <c r="CG15" s="32">
        <v>10.75182482</v>
      </c>
      <c r="CH15" s="32">
        <v>4</v>
      </c>
      <c r="CI15" s="32">
        <v>19</v>
      </c>
      <c r="CJ15" s="32">
        <v>71.394622240000004</v>
      </c>
      <c r="CK15" s="32">
        <v>22.917349789999999</v>
      </c>
      <c r="CL15" s="32">
        <v>3.9292160479999998</v>
      </c>
      <c r="CM15" s="32">
        <v>1.44278847</v>
      </c>
      <c r="CN15" s="32">
        <v>5.2295098209999997</v>
      </c>
      <c r="CO15" s="32">
        <v>1.687316705</v>
      </c>
      <c r="CP15" s="32">
        <v>0.36996488300000002</v>
      </c>
      <c r="CQ15" s="32">
        <v>2.3207892669999999</v>
      </c>
      <c r="CR15" s="32">
        <v>4.815471016</v>
      </c>
      <c r="CS15" s="32">
        <v>0.62613606899999996</v>
      </c>
      <c r="CT15" s="32">
        <v>1.1897939420000001</v>
      </c>
      <c r="CU15" s="32">
        <v>-0.45161417700000001</v>
      </c>
      <c r="CV15" s="32">
        <v>0.145486014</v>
      </c>
    </row>
    <row r="16" spans="1:100" x14ac:dyDescent="0.2">
      <c r="A16" s="24">
        <v>15</v>
      </c>
      <c r="B16" s="24" t="s">
        <v>200</v>
      </c>
      <c r="C16" s="24" t="s">
        <v>80</v>
      </c>
      <c r="D16" s="32">
        <v>26.66</v>
      </c>
      <c r="E16" s="32">
        <v>0.71</v>
      </c>
      <c r="F16" s="32">
        <v>1.19</v>
      </c>
      <c r="G16" s="33">
        <v>0.49</v>
      </c>
      <c r="H16" s="24"/>
      <c r="I16" s="34">
        <v>0.29870000000000002</v>
      </c>
      <c r="J16" s="32">
        <v>8.16</v>
      </c>
      <c r="K16" s="32">
        <v>5</v>
      </c>
      <c r="L16" s="32">
        <v>0</v>
      </c>
      <c r="M16" s="32">
        <v>1</v>
      </c>
      <c r="N16" s="32">
        <v>3</v>
      </c>
      <c r="O16" s="32">
        <v>3</v>
      </c>
      <c r="P16" s="32">
        <v>0</v>
      </c>
      <c r="Q16" s="32">
        <v>0.730337079</v>
      </c>
      <c r="R16" s="32">
        <v>0.50649350599999998</v>
      </c>
      <c r="S16" s="32">
        <v>0.75714285699999995</v>
      </c>
      <c r="T16" s="32">
        <v>442</v>
      </c>
      <c r="U16" s="32">
        <v>737</v>
      </c>
      <c r="V16" s="32">
        <v>1.667420814</v>
      </c>
      <c r="W16" s="32">
        <v>0.71</v>
      </c>
      <c r="X16" s="32">
        <v>0.15</v>
      </c>
      <c r="Y16" s="32">
        <v>153.20559259999999</v>
      </c>
      <c r="Z16" s="32">
        <v>0.54285714299999999</v>
      </c>
      <c r="AA16" s="32">
        <v>0.75312500000000004</v>
      </c>
      <c r="AB16" s="32">
        <v>0.45454545499999999</v>
      </c>
      <c r="AC16" s="32">
        <v>0.515151515</v>
      </c>
      <c r="AD16" s="32">
        <v>0.7</v>
      </c>
      <c r="AE16" s="32">
        <v>0.75714285699999995</v>
      </c>
      <c r="AF16" s="32">
        <v>0.84895833300000001</v>
      </c>
      <c r="AG16" s="32">
        <v>0.4</v>
      </c>
      <c r="AH16" s="32">
        <v>0.69</v>
      </c>
      <c r="AI16" s="32">
        <v>224</v>
      </c>
      <c r="AJ16" s="32">
        <v>404</v>
      </c>
      <c r="AK16" s="32">
        <v>1.803571429</v>
      </c>
      <c r="AL16" s="32">
        <v>0.35</v>
      </c>
      <c r="AM16" s="32">
        <v>0.13</v>
      </c>
      <c r="AN16" s="32">
        <v>123.7719896</v>
      </c>
      <c r="AO16" s="32">
        <v>0.78571428600000004</v>
      </c>
      <c r="AP16" s="32">
        <v>0.85975609799999997</v>
      </c>
      <c r="AQ16" s="32">
        <v>0.33333333300000001</v>
      </c>
      <c r="AR16" s="32">
        <v>0.41666666699999999</v>
      </c>
      <c r="AS16" s="32">
        <v>0.3</v>
      </c>
      <c r="AT16" s="32">
        <v>0.69</v>
      </c>
      <c r="AU16" s="32">
        <v>139</v>
      </c>
      <c r="AV16" s="32">
        <v>139</v>
      </c>
      <c r="AW16" s="32">
        <v>55</v>
      </c>
      <c r="AX16" s="32">
        <v>194</v>
      </c>
      <c r="AY16" s="32">
        <v>71.649484540000003</v>
      </c>
      <c r="AZ16" s="32">
        <v>1.395683453</v>
      </c>
      <c r="BA16" s="32">
        <v>0.47</v>
      </c>
      <c r="BB16" s="32">
        <v>29.5</v>
      </c>
      <c r="BC16" s="32">
        <v>0.1</v>
      </c>
      <c r="BD16" s="32">
        <v>64.748201440000003</v>
      </c>
      <c r="BE16" s="32">
        <v>35.251798559999997</v>
      </c>
      <c r="BF16" s="32">
        <v>20</v>
      </c>
      <c r="BG16" s="32">
        <v>4.5</v>
      </c>
      <c r="BH16" s="32">
        <v>65.55</v>
      </c>
      <c r="BI16" s="32">
        <v>0.93895489099999996</v>
      </c>
      <c r="BJ16" s="32">
        <v>156.4361079</v>
      </c>
      <c r="BK16" s="32">
        <v>0</v>
      </c>
      <c r="BL16" s="32">
        <v>15.43584691</v>
      </c>
      <c r="BM16" s="32">
        <v>50</v>
      </c>
      <c r="BN16" s="32">
        <v>50</v>
      </c>
      <c r="BO16" s="32">
        <v>30</v>
      </c>
      <c r="BP16" s="32">
        <v>4</v>
      </c>
      <c r="BQ16" s="32">
        <v>3.75</v>
      </c>
      <c r="BR16" s="32">
        <v>50</v>
      </c>
      <c r="BS16" s="32">
        <v>0.187790978</v>
      </c>
      <c r="BT16" s="32">
        <v>85.714285709999999</v>
      </c>
      <c r="BU16" s="32">
        <v>68.807339450000001</v>
      </c>
      <c r="BV16" s="32">
        <v>31.192660549999999</v>
      </c>
      <c r="BW16" s="32">
        <v>109</v>
      </c>
      <c r="BX16" s="32">
        <v>16</v>
      </c>
      <c r="BY16" s="32">
        <v>4.6875</v>
      </c>
      <c r="BZ16" s="32">
        <v>69.4375</v>
      </c>
      <c r="CA16" s="32">
        <v>1.426484063</v>
      </c>
      <c r="CB16" s="32">
        <v>68.553459119999999</v>
      </c>
      <c r="CC16" s="32">
        <v>787</v>
      </c>
      <c r="CD16" s="32">
        <v>229</v>
      </c>
      <c r="CE16" s="32">
        <v>1016</v>
      </c>
      <c r="CF16" s="32">
        <v>77.460629920000002</v>
      </c>
      <c r="CG16" s="32">
        <v>7.6390977439999999</v>
      </c>
      <c r="CH16" s="32">
        <v>4</v>
      </c>
      <c r="CI16" s="32">
        <v>21</v>
      </c>
      <c r="CJ16" s="32">
        <v>72.972046180000007</v>
      </c>
      <c r="CK16" s="32">
        <v>23.973709419999999</v>
      </c>
      <c r="CL16" s="32">
        <v>4.4979322750000001</v>
      </c>
      <c r="CM16" s="32">
        <v>1.794846771</v>
      </c>
      <c r="CN16" s="32">
        <v>5.0516323940000003</v>
      </c>
      <c r="CO16" s="32">
        <v>1.9744431099999999</v>
      </c>
      <c r="CP16" s="32">
        <v>-0.26563861999999999</v>
      </c>
      <c r="CQ16" s="32">
        <v>0.74044475600000004</v>
      </c>
      <c r="CR16" s="32">
        <v>5.9918345569999998</v>
      </c>
      <c r="CS16" s="32">
        <v>0.28837836999999999</v>
      </c>
      <c r="CT16" s="32">
        <v>7.6442789999999997E-2</v>
      </c>
      <c r="CU16" s="32">
        <v>-0.608275813</v>
      </c>
      <c r="CV16" s="32">
        <v>5.5440559E-2</v>
      </c>
    </row>
    <row r="17" spans="1:100" x14ac:dyDescent="0.2">
      <c r="A17" s="24">
        <v>16</v>
      </c>
      <c r="B17" s="24" t="s">
        <v>201</v>
      </c>
      <c r="C17" s="24" t="s">
        <v>80</v>
      </c>
      <c r="D17" s="32">
        <v>29.03</v>
      </c>
      <c r="E17" s="32">
        <v>0.86</v>
      </c>
      <c r="F17" s="32">
        <v>0.95</v>
      </c>
      <c r="G17" s="33">
        <v>0.67</v>
      </c>
      <c r="H17" s="24"/>
      <c r="I17" s="34">
        <v>0.38850000000000001</v>
      </c>
      <c r="J17" s="32">
        <v>11.76</v>
      </c>
      <c r="K17" s="32">
        <v>0</v>
      </c>
      <c r="L17" s="32">
        <v>2</v>
      </c>
      <c r="M17" s="32">
        <v>-1</v>
      </c>
      <c r="N17" s="32">
        <v>3</v>
      </c>
      <c r="O17" s="32">
        <v>2</v>
      </c>
      <c r="P17" s="32">
        <v>0.2</v>
      </c>
      <c r="Q17" s="32">
        <v>0.82536382500000005</v>
      </c>
      <c r="R17" s="32">
        <v>0.49152542399999999</v>
      </c>
      <c r="S17" s="32">
        <v>0.80714285699999999</v>
      </c>
      <c r="T17" s="32">
        <v>579</v>
      </c>
      <c r="U17" s="32">
        <v>842</v>
      </c>
      <c r="V17" s="32">
        <v>1.454231434</v>
      </c>
      <c r="W17" s="32">
        <v>0.71</v>
      </c>
      <c r="X17" s="32">
        <v>0.1</v>
      </c>
      <c r="Y17" s="32">
        <v>202.09260800000001</v>
      </c>
      <c r="Z17" s="32">
        <v>0.80952380999999995</v>
      </c>
      <c r="AA17" s="32">
        <v>0.82775119600000002</v>
      </c>
      <c r="AB17" s="32">
        <v>0.5</v>
      </c>
      <c r="AC17" s="32">
        <v>0.49090909100000002</v>
      </c>
      <c r="AD17" s="32">
        <v>0.8</v>
      </c>
      <c r="AE17" s="32">
        <v>0.80740740700000002</v>
      </c>
      <c r="AF17" s="32">
        <v>0.96503496499999997</v>
      </c>
      <c r="AG17" s="32">
        <v>0.5</v>
      </c>
      <c r="AH17" s="32">
        <v>0.693333333</v>
      </c>
      <c r="AI17" s="32">
        <v>318</v>
      </c>
      <c r="AJ17" s="32">
        <v>536</v>
      </c>
      <c r="AK17" s="32">
        <v>1.6855345909999999</v>
      </c>
      <c r="AL17" s="32">
        <v>0.41</v>
      </c>
      <c r="AM17" s="32">
        <v>0.08</v>
      </c>
      <c r="AN17" s="32">
        <v>166.27413129999999</v>
      </c>
      <c r="AO17" s="32">
        <v>0.96825396799999996</v>
      </c>
      <c r="AP17" s="32">
        <v>0.96412556100000002</v>
      </c>
      <c r="AQ17" s="32">
        <v>0.55555555599999995</v>
      </c>
      <c r="AR17" s="32">
        <v>0.46153846199999998</v>
      </c>
      <c r="AS17" s="32">
        <v>0.8</v>
      </c>
      <c r="AT17" s="32">
        <v>0.678571429</v>
      </c>
      <c r="AU17" s="32">
        <v>177</v>
      </c>
      <c r="AV17" s="32">
        <v>177</v>
      </c>
      <c r="AW17" s="32">
        <v>35</v>
      </c>
      <c r="AX17" s="32">
        <v>212</v>
      </c>
      <c r="AY17" s="32">
        <v>83.490566040000004</v>
      </c>
      <c r="AZ17" s="32">
        <v>1.1977401130000001</v>
      </c>
      <c r="BA17" s="32">
        <v>0.41</v>
      </c>
      <c r="BB17" s="32">
        <v>16</v>
      </c>
      <c r="BC17" s="32">
        <v>0.06</v>
      </c>
      <c r="BD17" s="32">
        <v>84.180790959999996</v>
      </c>
      <c r="BE17" s="32">
        <v>15.81920904</v>
      </c>
      <c r="BF17" s="32">
        <v>22</v>
      </c>
      <c r="BG17" s="32">
        <v>6.7727272730000001</v>
      </c>
      <c r="BH17" s="32">
        <v>83.181818179999993</v>
      </c>
      <c r="BI17" s="32">
        <v>1.05291146</v>
      </c>
      <c r="BJ17" s="32">
        <v>203.09433060000001</v>
      </c>
      <c r="BK17" s="32">
        <v>5</v>
      </c>
      <c r="BL17" s="32">
        <v>13.64240747</v>
      </c>
      <c r="BM17" s="32">
        <v>80.555555560000002</v>
      </c>
      <c r="BN17" s="32">
        <v>19.444444440000002</v>
      </c>
      <c r="BO17" s="32">
        <v>36</v>
      </c>
      <c r="BP17" s="32">
        <v>5</v>
      </c>
      <c r="BQ17" s="32">
        <v>5.8</v>
      </c>
      <c r="BR17" s="32">
        <v>87.6</v>
      </c>
      <c r="BS17" s="32">
        <v>0.23929805900000001</v>
      </c>
      <c r="BT17" s="32">
        <v>90</v>
      </c>
      <c r="BU17" s="32">
        <v>85.106382980000006</v>
      </c>
      <c r="BV17" s="32">
        <v>14.893617020000001</v>
      </c>
      <c r="BW17" s="32">
        <v>141</v>
      </c>
      <c r="BX17" s="32">
        <v>17</v>
      </c>
      <c r="BY17" s="32">
        <v>7.0588235289999997</v>
      </c>
      <c r="BZ17" s="32">
        <v>81.882352940000004</v>
      </c>
      <c r="CA17" s="32">
        <v>1.5274796589999999</v>
      </c>
      <c r="CB17" s="32">
        <v>81.976744190000005</v>
      </c>
      <c r="CC17" s="32">
        <v>1175</v>
      </c>
      <c r="CD17" s="32">
        <v>433</v>
      </c>
      <c r="CE17" s="32">
        <v>1608</v>
      </c>
      <c r="CF17" s="32">
        <v>73.072139300000003</v>
      </c>
      <c r="CG17" s="32">
        <v>10.17721519</v>
      </c>
      <c r="CH17" s="32">
        <v>4</v>
      </c>
      <c r="CI17" s="32">
        <v>19</v>
      </c>
      <c r="CJ17" s="32">
        <v>83.260854980000005</v>
      </c>
      <c r="CK17" s="32">
        <v>22.475684680000001</v>
      </c>
      <c r="CL17" s="32">
        <v>5.3879483969999997</v>
      </c>
      <c r="CM17" s="32">
        <v>1.6471898840000001</v>
      </c>
      <c r="CN17" s="32">
        <v>6.3364373729999999</v>
      </c>
      <c r="CO17" s="32">
        <v>1.854910643</v>
      </c>
      <c r="CP17" s="32">
        <v>0.29359918800000001</v>
      </c>
      <c r="CQ17" s="32">
        <v>1.517698856</v>
      </c>
      <c r="CR17" s="32">
        <v>6.2215950580000001</v>
      </c>
      <c r="CS17" s="32">
        <v>0.29843294999999997</v>
      </c>
      <c r="CT17" s="32">
        <v>0.92306228000000001</v>
      </c>
      <c r="CU17" s="32">
        <v>-0.33873592400000002</v>
      </c>
      <c r="CV17" s="32">
        <v>0.134447552</v>
      </c>
    </row>
    <row r="18" spans="1:100" x14ac:dyDescent="0.2">
      <c r="A18" s="24">
        <v>17</v>
      </c>
      <c r="B18" s="24" t="s">
        <v>202</v>
      </c>
      <c r="C18" s="24" t="s">
        <v>80</v>
      </c>
      <c r="D18" s="32">
        <v>25.17</v>
      </c>
      <c r="E18" s="32">
        <v>0.28999999999999998</v>
      </c>
      <c r="F18" s="32">
        <v>0.62</v>
      </c>
      <c r="G18" s="33">
        <v>0.63</v>
      </c>
      <c r="H18" s="24"/>
      <c r="I18" s="34">
        <v>0.1978</v>
      </c>
      <c r="J18" s="32">
        <v>4.95</v>
      </c>
      <c r="K18" s="32">
        <v>10</v>
      </c>
      <c r="L18" s="32">
        <v>0</v>
      </c>
      <c r="M18" s="32">
        <v>1</v>
      </c>
      <c r="N18" s="32">
        <v>7</v>
      </c>
      <c r="O18" s="32">
        <v>3</v>
      </c>
      <c r="P18" s="32">
        <v>0.4</v>
      </c>
      <c r="Q18" s="32">
        <v>0.76682692299999999</v>
      </c>
      <c r="R18" s="32">
        <v>0.32857142900000003</v>
      </c>
      <c r="S18" s="32">
        <v>0.76153846199999997</v>
      </c>
      <c r="T18" s="32">
        <v>534</v>
      </c>
      <c r="U18" s="32">
        <v>888</v>
      </c>
      <c r="V18" s="32">
        <v>1.662921348</v>
      </c>
      <c r="W18" s="32">
        <v>1.37</v>
      </c>
      <c r="X18" s="32">
        <v>0.11</v>
      </c>
      <c r="Y18" s="32">
        <v>184.35203720000001</v>
      </c>
      <c r="Z18" s="32">
        <v>0.76923076899999998</v>
      </c>
      <c r="AA18" s="32">
        <v>0.76648351599999998</v>
      </c>
      <c r="AB18" s="32">
        <v>0.14285714299999999</v>
      </c>
      <c r="AC18" s="32">
        <v>0.33870967699999999</v>
      </c>
      <c r="AD18" s="32">
        <v>0.82499999999999996</v>
      </c>
      <c r="AE18" s="32">
        <v>0.71904761900000003</v>
      </c>
      <c r="AF18" s="32">
        <v>0.87003610099999995</v>
      </c>
      <c r="AG18" s="32">
        <v>0.47727272700000001</v>
      </c>
      <c r="AH18" s="32">
        <v>0.70666666700000003</v>
      </c>
      <c r="AI18" s="32">
        <v>323</v>
      </c>
      <c r="AJ18" s="32">
        <v>562</v>
      </c>
      <c r="AK18" s="32">
        <v>1.7399380799999999</v>
      </c>
      <c r="AL18" s="32">
        <v>0.65</v>
      </c>
      <c r="AM18" s="32">
        <v>0.09</v>
      </c>
      <c r="AN18" s="32">
        <v>172.10626300000001</v>
      </c>
      <c r="AO18" s="32">
        <v>0.86666666699999995</v>
      </c>
      <c r="AP18" s="32">
        <v>0.87096774200000004</v>
      </c>
      <c r="AQ18" s="32">
        <v>0.428571429</v>
      </c>
      <c r="AR18" s="32">
        <v>0.486486486</v>
      </c>
      <c r="AS18" s="32">
        <v>0.6</v>
      </c>
      <c r="AT18" s="32">
        <v>0.7</v>
      </c>
      <c r="AU18" s="32">
        <v>166</v>
      </c>
      <c r="AV18" s="32">
        <v>166</v>
      </c>
      <c r="AW18" s="32">
        <v>71</v>
      </c>
      <c r="AX18" s="32">
        <v>237</v>
      </c>
      <c r="AY18" s="32">
        <v>70.042194089999995</v>
      </c>
      <c r="AZ18" s="32">
        <v>1.4277108430000001</v>
      </c>
      <c r="BA18" s="32">
        <v>0.65</v>
      </c>
      <c r="BB18" s="32">
        <v>25</v>
      </c>
      <c r="BC18" s="32">
        <v>0.1</v>
      </c>
      <c r="BD18" s="32">
        <v>66.265060239999997</v>
      </c>
      <c r="BE18" s="32">
        <v>33.734939760000003</v>
      </c>
      <c r="BF18" s="32">
        <v>24</v>
      </c>
      <c r="BG18" s="32">
        <v>4.5833333329999997</v>
      </c>
      <c r="BH18" s="32">
        <v>61</v>
      </c>
      <c r="BI18" s="32">
        <v>1.120869712</v>
      </c>
      <c r="BJ18" s="32">
        <v>184.5678695</v>
      </c>
      <c r="BK18" s="32">
        <v>0</v>
      </c>
      <c r="BL18" s="32">
        <v>13.468969789999999</v>
      </c>
      <c r="BM18" s="32">
        <v>65.517241380000002</v>
      </c>
      <c r="BN18" s="32">
        <v>34.482758619999998</v>
      </c>
      <c r="BO18" s="32">
        <v>29</v>
      </c>
      <c r="BP18" s="32">
        <v>4</v>
      </c>
      <c r="BQ18" s="32">
        <v>4.75</v>
      </c>
      <c r="BR18" s="32">
        <v>68.25</v>
      </c>
      <c r="BS18" s="32">
        <v>0.18681161900000001</v>
      </c>
      <c r="BT18" s="32">
        <v>72.5</v>
      </c>
      <c r="BU18" s="32">
        <v>66.423357659999994</v>
      </c>
      <c r="BV18" s="32">
        <v>33.576642339999999</v>
      </c>
      <c r="BW18" s="32">
        <v>137</v>
      </c>
      <c r="BX18" s="32">
        <v>20</v>
      </c>
      <c r="BY18" s="32">
        <v>4.55</v>
      </c>
      <c r="BZ18" s="32">
        <v>59.55</v>
      </c>
      <c r="CA18" s="32">
        <v>1.712328767</v>
      </c>
      <c r="CB18" s="32">
        <v>69.543147210000001</v>
      </c>
      <c r="CC18" s="32">
        <v>1994</v>
      </c>
      <c r="CD18" s="32">
        <v>406</v>
      </c>
      <c r="CE18" s="32">
        <v>2400</v>
      </c>
      <c r="CF18" s="32">
        <v>83.083333330000002</v>
      </c>
      <c r="CG18" s="32">
        <v>11.214953270000001</v>
      </c>
      <c r="CH18" s="32">
        <v>9</v>
      </c>
      <c r="CI18" s="32">
        <v>21</v>
      </c>
      <c r="CJ18" s="32">
        <v>112.9867273</v>
      </c>
      <c r="CK18" s="32">
        <v>22.178613200000001</v>
      </c>
      <c r="CL18" s="32">
        <v>7.3917990160000002</v>
      </c>
      <c r="CM18" s="32">
        <v>1.847254044</v>
      </c>
      <c r="CN18" s="32">
        <v>7.4809658680000002</v>
      </c>
      <c r="CO18" s="32">
        <v>1.863969129</v>
      </c>
      <c r="CP18" s="32">
        <v>-6.3965259999999996E-2</v>
      </c>
      <c r="CQ18" s="32">
        <v>1.1822652659999999</v>
      </c>
      <c r="CR18" s="32">
        <v>3.682887295</v>
      </c>
      <c r="CS18" s="32">
        <v>0.390712964</v>
      </c>
      <c r="CT18" s="32">
        <v>0.39619586200000001</v>
      </c>
      <c r="CU18" s="32">
        <v>-0.52280585800000001</v>
      </c>
      <c r="CV18" s="32">
        <v>8.4136364000000005E-2</v>
      </c>
    </row>
    <row r="19" spans="1:100" x14ac:dyDescent="0.2">
      <c r="A19" s="24">
        <v>18</v>
      </c>
      <c r="B19" s="24" t="s">
        <v>203</v>
      </c>
      <c r="C19" s="24" t="s">
        <v>80</v>
      </c>
      <c r="D19" s="32">
        <v>26.57</v>
      </c>
      <c r="E19" s="32">
        <v>0.79</v>
      </c>
      <c r="F19" s="32">
        <v>1.29</v>
      </c>
      <c r="G19" s="33">
        <v>0.36</v>
      </c>
      <c r="H19" s="24"/>
      <c r="I19" s="34">
        <v>0.44869999999999999</v>
      </c>
      <c r="J19" s="32">
        <v>13.22</v>
      </c>
      <c r="K19" s="32">
        <v>13</v>
      </c>
      <c r="L19" s="32">
        <v>0</v>
      </c>
      <c r="M19" s="32">
        <v>1</v>
      </c>
      <c r="N19" s="32">
        <v>0</v>
      </c>
      <c r="O19" s="32">
        <v>5</v>
      </c>
      <c r="P19" s="32">
        <v>-1</v>
      </c>
      <c r="Q19" s="32">
        <v>0.80924855500000004</v>
      </c>
      <c r="R19" s="32">
        <v>0.4</v>
      </c>
      <c r="S19" s="32">
        <v>0.87272727299999997</v>
      </c>
      <c r="T19" s="32">
        <v>444</v>
      </c>
      <c r="U19" s="32">
        <v>754</v>
      </c>
      <c r="V19" s="32">
        <v>1.698198198</v>
      </c>
      <c r="W19" s="32">
        <v>0.59</v>
      </c>
      <c r="X19" s="32">
        <v>0.1</v>
      </c>
      <c r="Y19" s="32">
        <v>155.91230909999999</v>
      </c>
      <c r="Z19" s="32">
        <v>0.81967213100000003</v>
      </c>
      <c r="AA19" s="32">
        <v>0.80701754400000003</v>
      </c>
      <c r="AB19" s="32">
        <v>0.6</v>
      </c>
      <c r="AC19" s="32">
        <v>0.36363636399999999</v>
      </c>
      <c r="AD19" s="32">
        <v>0.85</v>
      </c>
      <c r="AE19" s="32">
        <v>0.83333333300000001</v>
      </c>
      <c r="AF19" s="32">
        <v>0.887681159</v>
      </c>
      <c r="AG19" s="32">
        <v>0.64705882400000003</v>
      </c>
      <c r="AH19" s="32">
        <v>0.806666667</v>
      </c>
      <c r="AI19" s="32">
        <v>315</v>
      </c>
      <c r="AJ19" s="32">
        <v>537</v>
      </c>
      <c r="AK19" s="32">
        <v>1.704761905</v>
      </c>
      <c r="AL19" s="32">
        <v>0.28999999999999998</v>
      </c>
      <c r="AM19" s="32">
        <v>0.13</v>
      </c>
      <c r="AN19" s="32">
        <v>167.7618196</v>
      </c>
      <c r="AO19" s="32">
        <v>0.821428571</v>
      </c>
      <c r="AP19" s="32">
        <v>0.90410958900000005</v>
      </c>
      <c r="AQ19" s="32">
        <v>0.33333333300000001</v>
      </c>
      <c r="AR19" s="32">
        <v>0.76</v>
      </c>
      <c r="AS19" s="32">
        <v>0.7</v>
      </c>
      <c r="AT19" s="32">
        <v>0.79285714299999999</v>
      </c>
      <c r="AU19" s="32">
        <v>154</v>
      </c>
      <c r="AV19" s="32">
        <v>154</v>
      </c>
      <c r="AW19" s="32">
        <v>72</v>
      </c>
      <c r="AX19" s="32">
        <v>226</v>
      </c>
      <c r="AY19" s="32">
        <v>68.141592919999994</v>
      </c>
      <c r="AZ19" s="32">
        <v>1.4675324679999999</v>
      </c>
      <c r="BA19" s="32">
        <v>0.28999999999999998</v>
      </c>
      <c r="BB19" s="32">
        <v>20</v>
      </c>
      <c r="BC19" s="32">
        <v>0.14000000000000001</v>
      </c>
      <c r="BD19" s="32">
        <v>79.87012987</v>
      </c>
      <c r="BE19" s="32">
        <v>20.12987013</v>
      </c>
      <c r="BF19" s="32">
        <v>19</v>
      </c>
      <c r="BG19" s="32">
        <v>6.4736842110000001</v>
      </c>
      <c r="BH19" s="32">
        <v>92.578947369999995</v>
      </c>
      <c r="BI19" s="32">
        <v>0.89796775699999998</v>
      </c>
      <c r="BJ19" s="32">
        <v>174.23688859999999</v>
      </c>
      <c r="BK19" s="32">
        <v>15</v>
      </c>
      <c r="BL19" s="32">
        <v>18.161086439999998</v>
      </c>
      <c r="BM19" s="32">
        <v>75.555555560000002</v>
      </c>
      <c r="BN19" s="32">
        <v>24.444444440000002</v>
      </c>
      <c r="BO19" s="32">
        <v>45</v>
      </c>
      <c r="BP19" s="32">
        <v>6</v>
      </c>
      <c r="BQ19" s="32">
        <v>5.6666666670000003</v>
      </c>
      <c r="BR19" s="32">
        <v>73.833333330000002</v>
      </c>
      <c r="BS19" s="32">
        <v>0.283568765</v>
      </c>
      <c r="BT19" s="32">
        <v>72.580645160000003</v>
      </c>
      <c r="BU19" s="32">
        <v>81.651376150000004</v>
      </c>
      <c r="BV19" s="32">
        <v>18.348623849999999</v>
      </c>
      <c r="BW19" s="32">
        <v>109</v>
      </c>
      <c r="BX19" s="32">
        <v>13</v>
      </c>
      <c r="BY19" s="32">
        <v>6.846153846</v>
      </c>
      <c r="BZ19" s="32">
        <v>101.2307692</v>
      </c>
      <c r="CA19" s="32">
        <v>1.0964295749999999</v>
      </c>
      <c r="CB19" s="32">
        <v>66.463414630000003</v>
      </c>
      <c r="CC19" s="32">
        <v>1641</v>
      </c>
      <c r="CD19" s="32">
        <v>579</v>
      </c>
      <c r="CE19" s="32">
        <v>2220</v>
      </c>
      <c r="CF19" s="32">
        <v>73.918918919999996</v>
      </c>
      <c r="CG19" s="32">
        <v>13.875</v>
      </c>
      <c r="CH19" s="32">
        <v>7.5</v>
      </c>
      <c r="CI19" s="32">
        <v>14</v>
      </c>
      <c r="CJ19" s="32">
        <v>89.942029550000001</v>
      </c>
      <c r="CK19" s="32">
        <v>14.95727441</v>
      </c>
      <c r="CL19" s="32">
        <v>8.1434137030000002</v>
      </c>
      <c r="CM19" s="32">
        <v>1.6349370759999999</v>
      </c>
      <c r="CN19" s="32">
        <v>8.1061804209999995</v>
      </c>
      <c r="CO19" s="32">
        <v>1.629413534</v>
      </c>
      <c r="CP19" s="32">
        <v>-0.107259141</v>
      </c>
      <c r="CQ19" s="32">
        <v>0.64149833099999998</v>
      </c>
      <c r="CR19" s="32">
        <v>5.6055595709999997</v>
      </c>
      <c r="CS19" s="32">
        <v>0.23117480900000001</v>
      </c>
      <c r="CT19" s="32">
        <v>0.122916524</v>
      </c>
      <c r="CU19" s="32">
        <v>-0.33344397599999998</v>
      </c>
      <c r="CV19" s="32">
        <v>7.7989509999999998E-2</v>
      </c>
    </row>
    <row r="20" spans="1:100" x14ac:dyDescent="0.2">
      <c r="A20" s="24">
        <v>19</v>
      </c>
      <c r="B20" s="24" t="s">
        <v>204</v>
      </c>
      <c r="C20" s="24" t="s">
        <v>80</v>
      </c>
      <c r="D20" s="32">
        <v>27.75</v>
      </c>
      <c r="E20" s="32">
        <v>0.56999999999999995</v>
      </c>
      <c r="F20" s="32">
        <v>1.1000000000000001</v>
      </c>
      <c r="G20" s="33">
        <v>0.25</v>
      </c>
      <c r="H20" s="24"/>
      <c r="I20" s="34">
        <v>0.37880000000000003</v>
      </c>
      <c r="J20" s="32">
        <v>11.27</v>
      </c>
      <c r="K20" s="32">
        <v>9</v>
      </c>
      <c r="L20" s="32">
        <v>3</v>
      </c>
      <c r="M20" s="32">
        <v>0.5</v>
      </c>
      <c r="N20" s="32">
        <v>1</v>
      </c>
      <c r="O20" s="32">
        <v>1</v>
      </c>
      <c r="P20" s="32">
        <v>0</v>
      </c>
      <c r="Q20" s="32">
        <v>0.842592593</v>
      </c>
      <c r="R20" s="32">
        <v>0.40677966100000001</v>
      </c>
      <c r="S20" s="32">
        <v>0.79500000000000004</v>
      </c>
      <c r="T20" s="32">
        <v>415</v>
      </c>
      <c r="U20" s="32">
        <v>665</v>
      </c>
      <c r="V20" s="32">
        <v>1.602409639</v>
      </c>
      <c r="W20" s="32">
        <v>0.77</v>
      </c>
      <c r="X20" s="32">
        <v>0.09</v>
      </c>
      <c r="Y20" s="32">
        <v>147.7769169</v>
      </c>
      <c r="Z20" s="32">
        <v>0.76</v>
      </c>
      <c r="AA20" s="32">
        <v>0.84949832800000002</v>
      </c>
      <c r="AB20" s="32">
        <v>0.5</v>
      </c>
      <c r="AC20" s="32">
        <v>0.407407407</v>
      </c>
      <c r="AD20" s="32">
        <v>0.7</v>
      </c>
      <c r="AE20" s="32">
        <v>0.81499999999999995</v>
      </c>
      <c r="AF20" s="32">
        <v>0.90308370000000004</v>
      </c>
      <c r="AG20" s="32">
        <v>0.28260869599999999</v>
      </c>
      <c r="AH20" s="32">
        <v>0.678571429</v>
      </c>
      <c r="AI20" s="32">
        <v>287</v>
      </c>
      <c r="AJ20" s="32">
        <v>529</v>
      </c>
      <c r="AK20" s="32">
        <v>1.843205575</v>
      </c>
      <c r="AL20" s="32">
        <v>0.59</v>
      </c>
      <c r="AM20" s="32">
        <v>0.1</v>
      </c>
      <c r="AN20" s="32">
        <v>151.8053702</v>
      </c>
      <c r="AO20" s="32">
        <v>0.8</v>
      </c>
      <c r="AP20" s="32">
        <v>0.92513369000000001</v>
      </c>
      <c r="AQ20" s="32">
        <v>0.30769230800000003</v>
      </c>
      <c r="AR20" s="32">
        <v>0.27272727299999999</v>
      </c>
      <c r="AS20" s="32">
        <v>0.45</v>
      </c>
      <c r="AT20" s="32">
        <v>0.71818181800000003</v>
      </c>
      <c r="AU20" s="32">
        <v>145</v>
      </c>
      <c r="AV20" s="32">
        <v>145</v>
      </c>
      <c r="AW20" s="32">
        <v>49</v>
      </c>
      <c r="AX20" s="32">
        <v>194</v>
      </c>
      <c r="AY20" s="32">
        <v>74.742268039999999</v>
      </c>
      <c r="AZ20" s="32">
        <v>1.3379310339999999</v>
      </c>
      <c r="BA20" s="32">
        <v>0.89</v>
      </c>
      <c r="BB20" s="32">
        <v>55.5</v>
      </c>
      <c r="BC20" s="32">
        <v>8.5000000000000006E-2</v>
      </c>
      <c r="BD20" s="32">
        <v>55.17241379</v>
      </c>
      <c r="BE20" s="32">
        <v>44.82758621</v>
      </c>
      <c r="BF20" s="32">
        <v>18</v>
      </c>
      <c r="BG20" s="32">
        <v>4.4444444440000002</v>
      </c>
      <c r="BH20" s="32">
        <v>71.277777779999994</v>
      </c>
      <c r="BI20" s="32">
        <v>0.77057543399999995</v>
      </c>
      <c r="BJ20" s="32">
        <v>148.74443460000001</v>
      </c>
      <c r="BK20" s="32">
        <v>8</v>
      </c>
      <c r="BL20" s="32">
        <v>15.614567709999999</v>
      </c>
      <c r="BM20" s="32">
        <v>32.352941180000002</v>
      </c>
      <c r="BN20" s="32">
        <v>67.647058819999998</v>
      </c>
      <c r="BO20" s="32">
        <v>34</v>
      </c>
      <c r="BP20" s="32">
        <v>3</v>
      </c>
      <c r="BQ20" s="32">
        <v>3.6666666669999999</v>
      </c>
      <c r="BR20" s="32">
        <v>69.333333330000002</v>
      </c>
      <c r="BS20" s="32">
        <v>0.128429239</v>
      </c>
      <c r="BT20" s="32">
        <v>80.952380950000006</v>
      </c>
      <c r="BU20" s="32">
        <v>62.162162160000001</v>
      </c>
      <c r="BV20" s="32">
        <v>37.837837839999999</v>
      </c>
      <c r="BW20" s="32">
        <v>111</v>
      </c>
      <c r="BX20" s="32">
        <v>15</v>
      </c>
      <c r="BY20" s="32">
        <v>4.5999999999999996</v>
      </c>
      <c r="BZ20" s="32">
        <v>71.666666669999998</v>
      </c>
      <c r="CA20" s="32">
        <v>1.2694531950000001</v>
      </c>
      <c r="CB20" s="32">
        <v>73.026315789999998</v>
      </c>
      <c r="CC20" s="32">
        <v>1286</v>
      </c>
      <c r="CD20" s="32">
        <v>308</v>
      </c>
      <c r="CE20" s="32">
        <v>1594</v>
      </c>
      <c r="CF20" s="32">
        <v>80.677540780000001</v>
      </c>
      <c r="CG20" s="32">
        <v>11.98496241</v>
      </c>
      <c r="CH20" s="32">
        <v>6.5</v>
      </c>
      <c r="CI20" s="32">
        <v>14</v>
      </c>
      <c r="CJ20" s="32">
        <v>70.111043319999993</v>
      </c>
      <c r="CK20" s="32">
        <v>15.71465295</v>
      </c>
      <c r="CL20" s="32">
        <v>6.1160344029999996</v>
      </c>
      <c r="CM20" s="32">
        <v>1.8162913389999999</v>
      </c>
      <c r="CN20" s="32">
        <v>6.5359065530000002</v>
      </c>
      <c r="CO20" s="32">
        <v>1.9044993450000001</v>
      </c>
      <c r="CP20" s="32">
        <v>5.0509419E-2</v>
      </c>
      <c r="CQ20" s="32">
        <v>0.99000599199999995</v>
      </c>
      <c r="CR20" s="32">
        <v>5.8078068280000004</v>
      </c>
      <c r="CS20" s="32">
        <v>0.440375664</v>
      </c>
      <c r="CT20" s="32">
        <v>0.45226957299999998</v>
      </c>
      <c r="CU20" s="32">
        <v>-0.347672327</v>
      </c>
      <c r="CV20" s="32">
        <v>0.100384615</v>
      </c>
    </row>
    <row r="21" spans="1:100" x14ac:dyDescent="0.2">
      <c r="A21" s="24">
        <v>20</v>
      </c>
      <c r="B21" s="24" t="s">
        <v>205</v>
      </c>
      <c r="C21" s="24" t="s">
        <v>80</v>
      </c>
      <c r="D21" s="32">
        <v>26.02</v>
      </c>
      <c r="E21" s="32">
        <v>0.54</v>
      </c>
      <c r="F21" s="32">
        <v>0.69</v>
      </c>
      <c r="G21" s="33">
        <v>0.71</v>
      </c>
      <c r="H21" s="24"/>
      <c r="I21" s="34">
        <v>0.50509999999999999</v>
      </c>
      <c r="J21" s="32">
        <v>14.43</v>
      </c>
      <c r="K21" s="32">
        <v>7</v>
      </c>
      <c r="L21" s="32">
        <v>0</v>
      </c>
      <c r="M21" s="32">
        <v>1</v>
      </c>
      <c r="N21" s="32">
        <v>2</v>
      </c>
      <c r="O21" s="32">
        <v>6</v>
      </c>
      <c r="P21" s="32">
        <v>-0.5</v>
      </c>
      <c r="Q21" s="32">
        <v>0.72131147500000004</v>
      </c>
      <c r="R21" s="32">
        <v>0.49019607799999998</v>
      </c>
      <c r="S21" s="32">
        <v>0.72</v>
      </c>
      <c r="T21" s="32">
        <v>509</v>
      </c>
      <c r="U21" s="32">
        <v>901</v>
      </c>
      <c r="V21" s="32">
        <v>1.770137525</v>
      </c>
      <c r="W21" s="32">
        <v>1.07</v>
      </c>
      <c r="X21" s="32">
        <v>0.11</v>
      </c>
      <c r="Y21" s="32">
        <v>180.29000479999999</v>
      </c>
      <c r="Z21" s="32">
        <v>0.77333333299999996</v>
      </c>
      <c r="AA21" s="32">
        <v>0.70790377999999998</v>
      </c>
      <c r="AB21" s="32">
        <v>0.33333333300000001</v>
      </c>
      <c r="AC21" s="32">
        <v>0.51111111099999995</v>
      </c>
      <c r="AD21" s="32">
        <v>0.6</v>
      </c>
      <c r="AE21" s="32">
        <v>0.69545454500000004</v>
      </c>
      <c r="AF21" s="32">
        <v>0.82040816299999997</v>
      </c>
      <c r="AG21" s="32">
        <v>0.53521126799999996</v>
      </c>
      <c r="AH21" s="32">
        <v>0.68461538499999997</v>
      </c>
      <c r="AI21" s="32">
        <v>284</v>
      </c>
      <c r="AJ21" s="32">
        <v>526</v>
      </c>
      <c r="AK21" s="32">
        <v>1.852112676</v>
      </c>
      <c r="AL21" s="32">
        <v>0.41</v>
      </c>
      <c r="AM21" s="32">
        <v>0.1</v>
      </c>
      <c r="AN21" s="32">
        <v>164.69140429999999</v>
      </c>
      <c r="AO21" s="32">
        <v>0.73809523799999999</v>
      </c>
      <c r="AP21" s="32">
        <v>0.83743842400000001</v>
      </c>
      <c r="AQ21" s="32">
        <v>0.58823529399999996</v>
      </c>
      <c r="AR21" s="32">
        <v>0.51851851900000001</v>
      </c>
      <c r="AS21" s="32">
        <v>0.6</v>
      </c>
      <c r="AT21" s="32">
        <v>0.75</v>
      </c>
      <c r="AU21" s="32">
        <v>200</v>
      </c>
      <c r="AV21" s="32">
        <v>200</v>
      </c>
      <c r="AW21" s="32">
        <v>81</v>
      </c>
      <c r="AX21" s="32">
        <v>281</v>
      </c>
      <c r="AY21" s="32">
        <v>71.174377219999997</v>
      </c>
      <c r="AZ21" s="32">
        <v>1.405</v>
      </c>
      <c r="BA21" s="32">
        <v>0.59</v>
      </c>
      <c r="BB21" s="32">
        <v>26</v>
      </c>
      <c r="BC21" s="32">
        <v>0.1</v>
      </c>
      <c r="BD21" s="32">
        <v>73</v>
      </c>
      <c r="BE21" s="32">
        <v>27</v>
      </c>
      <c r="BF21" s="32">
        <v>31</v>
      </c>
      <c r="BG21" s="32">
        <v>4.7096774190000001</v>
      </c>
      <c r="BH21" s="32">
        <v>71.677419349999994</v>
      </c>
      <c r="BI21" s="32">
        <v>1.616501057</v>
      </c>
      <c r="BJ21" s="32">
        <v>250.1121742</v>
      </c>
      <c r="BK21" s="32">
        <v>65</v>
      </c>
      <c r="BL21" s="32">
        <v>13.997509900000001</v>
      </c>
      <c r="BM21" s="32">
        <v>68.181818179999993</v>
      </c>
      <c r="BN21" s="32">
        <v>31.81818182</v>
      </c>
      <c r="BO21" s="32">
        <v>44</v>
      </c>
      <c r="BP21" s="32">
        <v>6</v>
      </c>
      <c r="BQ21" s="32">
        <v>5</v>
      </c>
      <c r="BR21" s="32">
        <v>86.333333330000002</v>
      </c>
      <c r="BS21" s="32">
        <v>0.31287117199999998</v>
      </c>
      <c r="BT21" s="32">
        <v>67.692307690000007</v>
      </c>
      <c r="BU21" s="32">
        <v>74.358974360000005</v>
      </c>
      <c r="BV21" s="32">
        <v>25.641025639999999</v>
      </c>
      <c r="BW21" s="32">
        <v>156</v>
      </c>
      <c r="BX21" s="32">
        <v>25</v>
      </c>
      <c r="BY21" s="32">
        <v>4.6399999999999997</v>
      </c>
      <c r="BZ21" s="32">
        <v>68.16</v>
      </c>
      <c r="CA21" s="32">
        <v>2.339606946</v>
      </c>
      <c r="CB21" s="32">
        <v>72.222222220000006</v>
      </c>
      <c r="CC21" s="32">
        <v>965</v>
      </c>
      <c r="CD21" s="32">
        <v>373</v>
      </c>
      <c r="CE21" s="32">
        <v>1338</v>
      </c>
      <c r="CF21" s="32">
        <v>72.122570999999994</v>
      </c>
      <c r="CG21" s="32">
        <v>10.453125</v>
      </c>
      <c r="CH21" s="32">
        <v>4.5</v>
      </c>
      <c r="CI21" s="32">
        <v>16</v>
      </c>
      <c r="CJ21" s="32">
        <v>66.768900110000004</v>
      </c>
      <c r="CK21" s="32">
        <v>17.987352300000001</v>
      </c>
      <c r="CL21" s="32">
        <v>5.4854895670000001</v>
      </c>
      <c r="CM21" s="32">
        <v>1.9045933049999999</v>
      </c>
      <c r="CN21" s="32">
        <v>5.9136126720000002</v>
      </c>
      <c r="CO21" s="32">
        <v>2.0133501360000001</v>
      </c>
      <c r="CP21" s="32">
        <v>0.17315864</v>
      </c>
      <c r="CQ21" s="32">
        <v>1.235030238</v>
      </c>
      <c r="CR21" s="32">
        <v>4.5584920169999998</v>
      </c>
      <c r="CS21" s="32">
        <v>0.42331377999999997</v>
      </c>
      <c r="CT21" s="32">
        <v>0.67746790099999998</v>
      </c>
      <c r="CU21" s="32">
        <v>-0.32920916</v>
      </c>
      <c r="CV21" s="32">
        <v>0.116926316</v>
      </c>
    </row>
    <row r="22" spans="1:100" ht="15.75" x14ac:dyDescent="0.25">
      <c r="A22" s="24">
        <v>21</v>
      </c>
      <c r="B22" s="24" t="s">
        <v>206</v>
      </c>
      <c r="C22" s="24" t="s">
        <v>51</v>
      </c>
      <c r="D22" s="32">
        <v>25.2</v>
      </c>
      <c r="E22" s="32">
        <v>1.83</v>
      </c>
      <c r="F22" s="24"/>
      <c r="G22" s="35">
        <v>5.2</v>
      </c>
      <c r="H22" s="32">
        <v>0.54</v>
      </c>
      <c r="I22" s="24"/>
      <c r="J22" s="35">
        <v>18.28</v>
      </c>
      <c r="K22" s="24"/>
      <c r="L22" s="24"/>
      <c r="M22" s="24"/>
      <c r="N22" s="24"/>
      <c r="O22" s="24"/>
      <c r="P22" s="24"/>
      <c r="Q22" s="36">
        <v>0.82251081999999998</v>
      </c>
      <c r="R22" s="36">
        <v>0.41463414999999998</v>
      </c>
      <c r="S22" s="36">
        <v>0.77241378999999999</v>
      </c>
      <c r="T22" s="36">
        <v>594</v>
      </c>
      <c r="U22" s="36">
        <v>935</v>
      </c>
      <c r="V22" s="36">
        <v>1.57407407</v>
      </c>
      <c r="W22" s="36">
        <v>0.91</v>
      </c>
      <c r="X22" s="36">
        <v>0.16</v>
      </c>
      <c r="Y22" s="36">
        <v>197.34281300000001</v>
      </c>
      <c r="Z22" s="36">
        <v>0.78125</v>
      </c>
      <c r="AA22" s="36">
        <v>0.84717608</v>
      </c>
      <c r="AB22" s="36">
        <v>0.40909090999999997</v>
      </c>
      <c r="AC22" s="36">
        <v>0.42105262999999998</v>
      </c>
      <c r="AD22" s="36">
        <v>0.70909091000000002</v>
      </c>
      <c r="AE22" s="36">
        <v>0.81666667000000004</v>
      </c>
      <c r="AF22" s="36">
        <v>0.89078497999999995</v>
      </c>
      <c r="AG22" s="36">
        <v>0.46835442999999999</v>
      </c>
      <c r="AH22" s="36">
        <v>0.72941175999999996</v>
      </c>
      <c r="AI22" s="36">
        <v>356</v>
      </c>
      <c r="AJ22" s="36">
        <v>729</v>
      </c>
      <c r="AK22" s="36">
        <v>2.04775281</v>
      </c>
      <c r="AL22" s="36">
        <v>0.66</v>
      </c>
      <c r="AM22" s="36">
        <v>0.18</v>
      </c>
      <c r="AN22" s="36">
        <v>178.504132</v>
      </c>
      <c r="AO22" s="36">
        <v>0.85436893000000003</v>
      </c>
      <c r="AP22" s="36">
        <v>0.91052632</v>
      </c>
      <c r="AQ22" s="36">
        <v>0.42857142999999998</v>
      </c>
      <c r="AR22" s="36">
        <v>0.48275862000000003</v>
      </c>
      <c r="AS22" s="36">
        <v>0.85714285999999995</v>
      </c>
      <c r="AT22" s="36">
        <v>0.69090909</v>
      </c>
      <c r="AU22" s="36">
        <v>215</v>
      </c>
      <c r="AV22" s="36">
        <v>215</v>
      </c>
      <c r="AW22" s="36">
        <v>74</v>
      </c>
      <c r="AX22" s="36">
        <v>289</v>
      </c>
      <c r="AY22" s="36">
        <v>74.394463669999993</v>
      </c>
      <c r="AZ22" s="36">
        <v>1.344186047</v>
      </c>
      <c r="BA22" s="36">
        <v>0.66</v>
      </c>
      <c r="BB22" s="36">
        <v>22</v>
      </c>
      <c r="BC22" s="36">
        <v>0.18</v>
      </c>
      <c r="BD22" s="36">
        <v>82.79069767</v>
      </c>
      <c r="BE22" s="36">
        <v>17.20930233</v>
      </c>
      <c r="BF22" s="36">
        <v>29</v>
      </c>
      <c r="BG22" s="36">
        <v>6.1379310340000002</v>
      </c>
      <c r="BH22" s="36">
        <v>105.8275862</v>
      </c>
      <c r="BI22" s="36">
        <v>1.2282352940000001</v>
      </c>
      <c r="BJ22" s="36">
        <v>218.50775759999999</v>
      </c>
      <c r="BK22" s="36">
        <v>7</v>
      </c>
      <c r="BL22" s="36">
        <v>18.16871502</v>
      </c>
      <c r="BM22" s="36">
        <v>79.310344799999996</v>
      </c>
      <c r="BN22" s="36">
        <v>20.689655170000002</v>
      </c>
      <c r="BO22" s="36">
        <v>58</v>
      </c>
      <c r="BP22" s="36">
        <v>8</v>
      </c>
      <c r="BQ22" s="36">
        <v>5.75</v>
      </c>
      <c r="BR22" s="36">
        <v>87.125</v>
      </c>
      <c r="BS22" s="36">
        <v>0.33882352939999999</v>
      </c>
      <c r="BT22" s="36">
        <v>76.315789469999999</v>
      </c>
      <c r="BU22" s="36">
        <v>83.439490449999994</v>
      </c>
      <c r="BV22" s="36">
        <v>16.560509549999999</v>
      </c>
      <c r="BW22" s="36">
        <v>157</v>
      </c>
      <c r="BX22" s="36">
        <v>21</v>
      </c>
      <c r="BY22" s="36">
        <v>6.2380952379999997</v>
      </c>
      <c r="BZ22" s="36">
        <v>110.2857143</v>
      </c>
      <c r="CA22" s="36">
        <v>1.810691703</v>
      </c>
      <c r="CB22" s="36">
        <v>73.708920190000001</v>
      </c>
      <c r="CC22" s="36">
        <v>1834</v>
      </c>
      <c r="CD22" s="36">
        <v>491</v>
      </c>
      <c r="CE22" s="36">
        <v>2325</v>
      </c>
      <c r="CF22" s="36">
        <v>78.881720430000001</v>
      </c>
      <c r="CG22" s="36">
        <v>10.52036199</v>
      </c>
      <c r="CH22" s="36">
        <v>7</v>
      </c>
      <c r="CI22" s="36">
        <v>22</v>
      </c>
      <c r="CJ22" s="36">
        <v>116.274</v>
      </c>
      <c r="CK22" s="36">
        <v>24.052418060000001</v>
      </c>
      <c r="CL22" s="36">
        <v>7.4134142880000002</v>
      </c>
      <c r="CM22" s="36">
        <v>2.0620774489999998</v>
      </c>
      <c r="CN22" s="36">
        <v>7.8346099210000002</v>
      </c>
      <c r="CO22" s="36">
        <v>2.1637657400000001</v>
      </c>
      <c r="CP22" s="35">
        <v>0.57957099999999995</v>
      </c>
      <c r="CQ22" s="35">
        <v>1.542789</v>
      </c>
      <c r="CR22" s="35">
        <v>4.5574880000000002</v>
      </c>
      <c r="CS22" s="35">
        <v>0.54175600000000002</v>
      </c>
      <c r="CT22" s="35">
        <v>1.142166</v>
      </c>
      <c r="CU22" s="35">
        <v>1.9036000000000001E-2</v>
      </c>
      <c r="CV22" s="35">
        <v>0.209454</v>
      </c>
    </row>
    <row r="23" spans="1:100" ht="15.75" x14ac:dyDescent="0.25">
      <c r="A23" s="24">
        <v>22</v>
      </c>
      <c r="B23" s="24" t="s">
        <v>207</v>
      </c>
      <c r="C23" s="24" t="s">
        <v>51</v>
      </c>
      <c r="D23" s="32">
        <v>25.6</v>
      </c>
      <c r="E23" s="32">
        <v>1.78</v>
      </c>
      <c r="F23" s="24"/>
      <c r="G23" s="35">
        <v>5.91</v>
      </c>
      <c r="H23" s="32">
        <v>0.68</v>
      </c>
      <c r="I23" s="24"/>
      <c r="J23" s="35">
        <v>15.4</v>
      </c>
      <c r="K23" s="24"/>
      <c r="L23" s="24"/>
      <c r="M23" s="24"/>
      <c r="N23" s="24"/>
      <c r="O23" s="24"/>
      <c r="P23" s="24"/>
      <c r="Q23" s="36">
        <v>0.90410959000000002</v>
      </c>
      <c r="R23" s="36">
        <v>0.52380952000000003</v>
      </c>
      <c r="S23" s="36">
        <v>0.79642857</v>
      </c>
      <c r="T23" s="36">
        <v>569</v>
      </c>
      <c r="U23" s="36">
        <v>791</v>
      </c>
      <c r="V23" s="36">
        <v>1.3901581700000001</v>
      </c>
      <c r="W23" s="36">
        <v>0.79</v>
      </c>
      <c r="X23" s="36">
        <v>0.11</v>
      </c>
      <c r="Y23" s="36">
        <v>188.58127500000001</v>
      </c>
      <c r="Z23" s="36">
        <v>0.92073170999999998</v>
      </c>
      <c r="AA23" s="36">
        <v>0.89743589999999995</v>
      </c>
      <c r="AB23" s="36">
        <v>0.64285714000000005</v>
      </c>
      <c r="AC23" s="36">
        <v>0.46428571000000002</v>
      </c>
      <c r="AD23" s="36">
        <v>0.76666666999999999</v>
      </c>
      <c r="AE23" s="36">
        <v>0.79411765000000001</v>
      </c>
      <c r="AF23" s="36">
        <v>0.95297805999999996</v>
      </c>
      <c r="AG23" s="36">
        <v>0.58490565999999999</v>
      </c>
      <c r="AH23" s="36">
        <v>0.76315789000000001</v>
      </c>
      <c r="AI23" s="36">
        <v>398</v>
      </c>
      <c r="AJ23" s="36">
        <v>695</v>
      </c>
      <c r="AK23" s="36">
        <v>1.74623116</v>
      </c>
      <c r="AL23" s="36">
        <v>0.66</v>
      </c>
      <c r="AM23" s="36">
        <v>0.1</v>
      </c>
      <c r="AN23" s="36">
        <v>196.89883399999999</v>
      </c>
      <c r="AO23" s="36">
        <v>0.95798318999999998</v>
      </c>
      <c r="AP23" s="36">
        <v>0.94974873999999998</v>
      </c>
      <c r="AQ23" s="36">
        <v>0.61904762000000002</v>
      </c>
      <c r="AR23" s="36">
        <v>0.54838710000000002</v>
      </c>
      <c r="AS23" s="36">
        <v>0.75714285999999997</v>
      </c>
      <c r="AT23" s="36">
        <v>0.78333333000000005</v>
      </c>
      <c r="AU23" s="36">
        <v>177</v>
      </c>
      <c r="AV23" s="36">
        <v>177</v>
      </c>
      <c r="AW23" s="36">
        <v>70</v>
      </c>
      <c r="AX23" s="36">
        <v>247</v>
      </c>
      <c r="AY23" s="36">
        <v>71.659919029999998</v>
      </c>
      <c r="AZ23" s="36">
        <v>1.3954802260000001</v>
      </c>
      <c r="BA23" s="36">
        <v>0.66</v>
      </c>
      <c r="BB23" s="36">
        <v>26</v>
      </c>
      <c r="BC23" s="36">
        <v>0.12</v>
      </c>
      <c r="BD23" s="36">
        <v>71.751412430000002</v>
      </c>
      <c r="BE23" s="36">
        <v>28.248587570000002</v>
      </c>
      <c r="BF23" s="36">
        <v>19</v>
      </c>
      <c r="BG23" s="36">
        <v>6.6842105260000002</v>
      </c>
      <c r="BH23" s="36">
        <v>123.2631579</v>
      </c>
      <c r="BI23" s="36">
        <v>0.83711708620000003</v>
      </c>
      <c r="BJ23" s="36">
        <v>185.63053059999999</v>
      </c>
      <c r="BK23" s="36">
        <v>12</v>
      </c>
      <c r="BL23" s="36">
        <v>18.1920328</v>
      </c>
      <c r="BM23" s="36">
        <v>60.377358489999999</v>
      </c>
      <c r="BN23" s="36">
        <v>39.622641510000001</v>
      </c>
      <c r="BO23" s="36">
        <v>53</v>
      </c>
      <c r="BP23" s="36">
        <v>5</v>
      </c>
      <c r="BQ23" s="36">
        <v>6.4</v>
      </c>
      <c r="BR23" s="36">
        <v>117</v>
      </c>
      <c r="BS23" s="36">
        <v>0.22029397009999999</v>
      </c>
      <c r="BT23" s="36">
        <v>65.432098800000006</v>
      </c>
      <c r="BU23" s="36">
        <v>76.612903230000001</v>
      </c>
      <c r="BV23" s="36">
        <v>23.387096769999999</v>
      </c>
      <c r="BW23" s="36">
        <v>124</v>
      </c>
      <c r="BX23" s="36">
        <v>14</v>
      </c>
      <c r="BY23" s="36">
        <v>6.7857142860000002</v>
      </c>
      <c r="BZ23" s="36">
        <v>125.5</v>
      </c>
      <c r="CA23" s="36">
        <v>1.309260943</v>
      </c>
      <c r="CB23" s="36">
        <v>74.698795180000005</v>
      </c>
      <c r="CC23" s="36">
        <v>2036</v>
      </c>
      <c r="CD23" s="36">
        <v>443</v>
      </c>
      <c r="CE23" s="36">
        <v>2479</v>
      </c>
      <c r="CF23" s="36">
        <v>82.129891090000001</v>
      </c>
      <c r="CG23" s="36">
        <v>10.201646090000001</v>
      </c>
      <c r="CH23" s="36">
        <v>7</v>
      </c>
      <c r="CI23" s="36">
        <v>25</v>
      </c>
      <c r="CJ23" s="36">
        <v>129.2322465</v>
      </c>
      <c r="CK23" s="36">
        <v>27.440661970000001</v>
      </c>
      <c r="CL23" s="36">
        <v>7.1166528580000001</v>
      </c>
      <c r="CM23" s="36">
        <v>2.0955553870000001</v>
      </c>
      <c r="CN23" s="36">
        <v>7.6039120880000004</v>
      </c>
      <c r="CO23" s="36">
        <v>2.2188198039999998</v>
      </c>
      <c r="CP23" s="35">
        <v>-0.36423</v>
      </c>
      <c r="CQ23" s="35">
        <v>0.70064199999999999</v>
      </c>
      <c r="CR23" s="35">
        <v>5.5397559999999997</v>
      </c>
      <c r="CS23" s="35">
        <v>0.43238399999999999</v>
      </c>
      <c r="CT23" s="35">
        <v>-5.5390000000000002E-2</v>
      </c>
      <c r="CU23" s="35">
        <v>-0.66749999999999998</v>
      </c>
      <c r="CV23" s="35">
        <v>6.0408000000000003E-2</v>
      </c>
    </row>
    <row r="24" spans="1:100" ht="15.75" x14ac:dyDescent="0.25">
      <c r="A24" s="24">
        <v>23</v>
      </c>
      <c r="B24" s="24" t="s">
        <v>208</v>
      </c>
      <c r="C24" s="24" t="s">
        <v>51</v>
      </c>
      <c r="D24" s="32">
        <v>21.3</v>
      </c>
      <c r="E24" s="32">
        <v>1.07</v>
      </c>
      <c r="F24" s="24"/>
      <c r="G24" s="35">
        <v>4.24</v>
      </c>
      <c r="H24" s="32">
        <v>0.41</v>
      </c>
      <c r="I24" s="24"/>
      <c r="J24" s="35">
        <v>10.37</v>
      </c>
      <c r="K24" s="24"/>
      <c r="L24" s="24"/>
      <c r="M24" s="24"/>
      <c r="N24" s="24"/>
      <c r="O24" s="24"/>
      <c r="P24" s="24"/>
      <c r="Q24" s="36">
        <v>0.78037383000000005</v>
      </c>
      <c r="R24" s="36">
        <v>0.46534652999999998</v>
      </c>
      <c r="S24" s="36">
        <v>0.72333333</v>
      </c>
      <c r="T24" s="36">
        <v>619</v>
      </c>
      <c r="U24" s="36">
        <v>995</v>
      </c>
      <c r="V24" s="36">
        <v>1.60743134</v>
      </c>
      <c r="W24" s="36">
        <v>0.79</v>
      </c>
      <c r="X24" s="36">
        <v>0.12</v>
      </c>
      <c r="Y24" s="36">
        <v>208.93904000000001</v>
      </c>
      <c r="Z24" s="36">
        <v>0.72602739999999999</v>
      </c>
      <c r="AA24" s="36">
        <v>0.81138790000000005</v>
      </c>
      <c r="AB24" s="36">
        <v>0.38888888999999999</v>
      </c>
      <c r="AC24" s="36">
        <v>0.50769231000000004</v>
      </c>
      <c r="AD24" s="36">
        <v>0.73333333000000001</v>
      </c>
      <c r="AE24" s="36">
        <v>0.7</v>
      </c>
      <c r="AF24" s="36">
        <v>0.89219331000000002</v>
      </c>
      <c r="AG24" s="36">
        <v>0.56060606000000002</v>
      </c>
      <c r="AH24" s="36">
        <v>0.67368421000000001</v>
      </c>
      <c r="AI24" s="36">
        <v>384</v>
      </c>
      <c r="AJ24" s="36">
        <v>651</v>
      </c>
      <c r="AK24" s="36">
        <v>1.6953125</v>
      </c>
      <c r="AL24" s="36">
        <v>0.66</v>
      </c>
      <c r="AM24" s="36">
        <v>0.13</v>
      </c>
      <c r="AN24" s="36">
        <v>191.56653600000001</v>
      </c>
      <c r="AO24" s="36">
        <v>0.91025641000000002</v>
      </c>
      <c r="AP24" s="36">
        <v>0.88481675000000004</v>
      </c>
      <c r="AQ24" s="36">
        <v>0.52631578999999995</v>
      </c>
      <c r="AR24" s="36">
        <v>0.57446808999999999</v>
      </c>
      <c r="AS24" s="36">
        <v>0.58571428999999997</v>
      </c>
      <c r="AT24" s="36">
        <v>0.67692308000000001</v>
      </c>
      <c r="AU24" s="36">
        <v>188</v>
      </c>
      <c r="AV24" s="36">
        <v>188</v>
      </c>
      <c r="AW24" s="36">
        <v>125</v>
      </c>
      <c r="AX24" s="36">
        <v>313</v>
      </c>
      <c r="AY24" s="36">
        <v>60.063897760000003</v>
      </c>
      <c r="AZ24" s="36">
        <v>1.6648936169999999</v>
      </c>
      <c r="BA24" s="36">
        <v>0.66</v>
      </c>
      <c r="BB24" s="36">
        <v>34</v>
      </c>
      <c r="BC24" s="36">
        <v>0.15</v>
      </c>
      <c r="BD24" s="36">
        <v>60.638297870000002</v>
      </c>
      <c r="BE24" s="36">
        <v>39.361702129999998</v>
      </c>
      <c r="BF24" s="36">
        <v>19</v>
      </c>
      <c r="BG24" s="36">
        <v>6</v>
      </c>
      <c r="BH24" s="36">
        <v>115.68421050000001</v>
      </c>
      <c r="BI24" s="36">
        <v>0.82193755999999996</v>
      </c>
      <c r="BJ24" s="36">
        <v>194.11785800000001</v>
      </c>
      <c r="BK24" s="36">
        <v>30</v>
      </c>
      <c r="BL24" s="36">
        <v>21.40472359</v>
      </c>
      <c r="BM24" s="36">
        <v>63.46153846</v>
      </c>
      <c r="BN24" s="36">
        <v>36.53846154</v>
      </c>
      <c r="BO24" s="36">
        <v>52</v>
      </c>
      <c r="BP24" s="36">
        <v>6</v>
      </c>
      <c r="BQ24" s="36">
        <v>5.5</v>
      </c>
      <c r="BR24" s="36">
        <v>111</v>
      </c>
      <c r="BS24" s="36">
        <v>0.25955922999999997</v>
      </c>
      <c r="BT24" s="36">
        <v>57.142857139999997</v>
      </c>
      <c r="BU24" s="36">
        <v>59.558823529999998</v>
      </c>
      <c r="BV24" s="36">
        <v>40.441176470000002</v>
      </c>
      <c r="BW24" s="36">
        <v>136</v>
      </c>
      <c r="BX24" s="36">
        <v>13</v>
      </c>
      <c r="BY24" s="36">
        <v>6.230769231</v>
      </c>
      <c r="BZ24" s="36">
        <v>117.8461538</v>
      </c>
      <c r="CA24" s="36">
        <v>1.18724473</v>
      </c>
      <c r="CB24" s="36">
        <v>61.261261259999998</v>
      </c>
      <c r="CC24" s="36">
        <v>2301</v>
      </c>
      <c r="CD24" s="36">
        <v>489</v>
      </c>
      <c r="CE24" s="36">
        <v>2790</v>
      </c>
      <c r="CF24" s="36">
        <v>82.473118279999994</v>
      </c>
      <c r="CG24" s="36">
        <v>11.43442623</v>
      </c>
      <c r="CH24" s="36">
        <v>7</v>
      </c>
      <c r="CI24" s="36">
        <v>24</v>
      </c>
      <c r="CJ24" s="36">
        <v>130.3441368</v>
      </c>
      <c r="CK24" s="36">
        <v>26.42294557</v>
      </c>
      <c r="CL24" s="36">
        <v>7.1781279649999998</v>
      </c>
      <c r="CM24" s="36">
        <v>2.1091221349999998</v>
      </c>
      <c r="CN24" s="36">
        <v>7.6732031559999996</v>
      </c>
      <c r="CO24" s="36">
        <v>2.2335517579999999</v>
      </c>
      <c r="CP24" s="35">
        <v>-0.12352</v>
      </c>
      <c r="CQ24" s="35">
        <v>0.86680999999999997</v>
      </c>
      <c r="CR24" s="35">
        <v>5.3104659999999999</v>
      </c>
      <c r="CS24" s="35">
        <v>0.27761999999999998</v>
      </c>
      <c r="CT24" s="35">
        <v>0.27230100000000002</v>
      </c>
      <c r="CU24" s="35">
        <v>-0.53391</v>
      </c>
      <c r="CV24" s="35">
        <v>9.6601999999999993E-2</v>
      </c>
    </row>
    <row r="25" spans="1:100" ht="15.75" x14ac:dyDescent="0.25">
      <c r="A25" s="24">
        <v>24</v>
      </c>
      <c r="B25" s="24" t="s">
        <v>209</v>
      </c>
      <c r="C25" s="24" t="s">
        <v>51</v>
      </c>
      <c r="D25" s="32">
        <v>26.4</v>
      </c>
      <c r="E25" s="32">
        <v>1.4</v>
      </c>
      <c r="F25" s="24"/>
      <c r="G25" s="35">
        <v>3.69</v>
      </c>
      <c r="H25" s="32">
        <v>0.11</v>
      </c>
      <c r="I25" s="24"/>
      <c r="J25" s="35">
        <v>15.39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36">
        <v>0.91262136000000005</v>
      </c>
      <c r="AG25" s="36">
        <v>0.53571429000000004</v>
      </c>
      <c r="AH25" s="36">
        <v>0.85384614999999997</v>
      </c>
      <c r="AI25" s="36">
        <v>274</v>
      </c>
      <c r="AJ25" s="36">
        <v>439</v>
      </c>
      <c r="AK25" s="36">
        <v>1.60218978</v>
      </c>
      <c r="AL25" s="36">
        <v>0.66</v>
      </c>
      <c r="AM25" s="36">
        <v>0.19</v>
      </c>
      <c r="AN25" s="36">
        <v>137.611491</v>
      </c>
      <c r="AO25" s="36">
        <v>0.86153846000000001</v>
      </c>
      <c r="AP25" s="36">
        <v>0.93617021</v>
      </c>
      <c r="AQ25" s="36">
        <v>0.5</v>
      </c>
      <c r="AR25" s="36">
        <v>0.55555555999999995</v>
      </c>
      <c r="AS25" s="36">
        <v>0.82</v>
      </c>
      <c r="AT25" s="36">
        <v>0.83333332999999998</v>
      </c>
      <c r="AU25" s="36">
        <v>225</v>
      </c>
      <c r="AV25" s="36">
        <v>225</v>
      </c>
      <c r="AW25" s="36">
        <v>99</v>
      </c>
      <c r="AX25" s="36">
        <v>324</v>
      </c>
      <c r="AY25" s="36">
        <v>69.444444439999998</v>
      </c>
      <c r="AZ25" s="36">
        <v>1.44</v>
      </c>
      <c r="BA25" s="36">
        <v>0.66</v>
      </c>
      <c r="BB25" s="36">
        <v>22</v>
      </c>
      <c r="BC25" s="36">
        <v>0.22</v>
      </c>
      <c r="BD25" s="36">
        <v>90.666666669999998</v>
      </c>
      <c r="BE25" s="36">
        <v>9.3333333330000006</v>
      </c>
      <c r="BF25" s="36">
        <v>23</v>
      </c>
      <c r="BG25" s="36">
        <v>8.8695652169999999</v>
      </c>
      <c r="BH25" s="36">
        <v>182.30434779999999</v>
      </c>
      <c r="BI25" s="36">
        <v>1.022462059</v>
      </c>
      <c r="BJ25" s="36">
        <v>239.8223538</v>
      </c>
      <c r="BK25" s="36">
        <v>0</v>
      </c>
      <c r="BL25" s="36">
        <v>19.225291009999999</v>
      </c>
      <c r="BM25" s="36">
        <v>85.393258399999993</v>
      </c>
      <c r="BN25" s="36">
        <v>14.606741570000001</v>
      </c>
      <c r="BO25" s="36">
        <v>89</v>
      </c>
      <c r="BP25" s="36">
        <v>8</v>
      </c>
      <c r="BQ25" s="36">
        <v>9.5</v>
      </c>
      <c r="BR25" s="36">
        <v>216.25</v>
      </c>
      <c r="BS25" s="36">
        <v>0.35563897999999999</v>
      </c>
      <c r="BT25" s="36">
        <v>54.9382716</v>
      </c>
      <c r="BU25" s="36">
        <v>94.117647059999996</v>
      </c>
      <c r="BV25" s="36">
        <v>5.8823529409999997</v>
      </c>
      <c r="BW25" s="36">
        <v>136</v>
      </c>
      <c r="BX25" s="36">
        <v>15</v>
      </c>
      <c r="BY25" s="36">
        <v>8.5333333329999999</v>
      </c>
      <c r="BZ25" s="36">
        <v>164.2</v>
      </c>
      <c r="CA25" s="36">
        <v>1.2730144510000001</v>
      </c>
      <c r="CB25" s="36">
        <v>83.950617300000005</v>
      </c>
      <c r="CC25" s="36">
        <v>3115</v>
      </c>
      <c r="CD25" s="36">
        <v>659</v>
      </c>
      <c r="CE25" s="36">
        <v>3774</v>
      </c>
      <c r="CF25" s="36">
        <v>82.538420770000002</v>
      </c>
      <c r="CG25" s="36">
        <v>14.134831459999999</v>
      </c>
      <c r="CH25" s="36">
        <v>10</v>
      </c>
      <c r="CI25" s="36">
        <v>17</v>
      </c>
      <c r="CJ25" s="36">
        <v>143.889523</v>
      </c>
      <c r="CK25" s="36">
        <v>19.428401560000001</v>
      </c>
      <c r="CL25" s="36">
        <v>11.095275920000001</v>
      </c>
      <c r="CM25" s="36">
        <v>2.110081444</v>
      </c>
      <c r="CN25" s="36">
        <v>12.08929071</v>
      </c>
      <c r="CO25" s="36">
        <v>2.276739633</v>
      </c>
      <c r="CP25" s="35">
        <v>0.270264</v>
      </c>
      <c r="CQ25" s="35">
        <v>1.9956769999999999</v>
      </c>
      <c r="CR25" s="35">
        <v>3.4604029999999999</v>
      </c>
      <c r="CS25" s="35">
        <v>0.50726000000000004</v>
      </c>
      <c r="CT25" s="35">
        <v>1.0113319999999999</v>
      </c>
      <c r="CU25" s="35">
        <v>-0.48249999999999998</v>
      </c>
      <c r="CV25" s="35">
        <v>0.15901100000000001</v>
      </c>
    </row>
    <row r="26" spans="1:100" ht="15.75" x14ac:dyDescent="0.25">
      <c r="A26" s="24">
        <v>25</v>
      </c>
      <c r="B26" s="24" t="s">
        <v>210</v>
      </c>
      <c r="C26" s="24" t="s">
        <v>51</v>
      </c>
      <c r="D26" s="32">
        <v>26.4</v>
      </c>
      <c r="E26" s="32">
        <v>0.93</v>
      </c>
      <c r="F26" s="24"/>
      <c r="G26" s="35">
        <v>3.99</v>
      </c>
      <c r="H26" s="32">
        <v>0.1</v>
      </c>
      <c r="I26" s="24"/>
      <c r="J26" s="35">
        <v>17.7</v>
      </c>
      <c r="K26" s="24"/>
      <c r="L26" s="24"/>
      <c r="M26" s="24"/>
      <c r="N26" s="24"/>
      <c r="O26" s="24"/>
      <c r="P26" s="24"/>
      <c r="Q26" s="36">
        <v>0.85458166999999996</v>
      </c>
      <c r="R26" s="36">
        <v>0.52173913000000005</v>
      </c>
      <c r="S26" s="36">
        <v>0.8</v>
      </c>
      <c r="T26" s="36">
        <v>684</v>
      </c>
      <c r="U26" s="36">
        <v>1039</v>
      </c>
      <c r="V26" s="36">
        <v>1.5190058500000001</v>
      </c>
      <c r="W26" s="36">
        <v>0.79</v>
      </c>
      <c r="X26" s="36">
        <v>0.18</v>
      </c>
      <c r="Y26" s="36">
        <v>226.17973900000001</v>
      </c>
      <c r="Z26" s="36">
        <v>0.86826347000000004</v>
      </c>
      <c r="AA26" s="36">
        <v>0.84984985000000002</v>
      </c>
      <c r="AB26" s="36">
        <v>0.48387097000000001</v>
      </c>
      <c r="AC26" s="36">
        <v>0.55263158000000001</v>
      </c>
      <c r="AD26" s="36">
        <v>0.81666667000000004</v>
      </c>
      <c r="AE26" s="36">
        <v>0.78181818000000003</v>
      </c>
      <c r="AF26" s="36">
        <v>0.87692307999999997</v>
      </c>
      <c r="AG26" s="36">
        <v>0.42857142999999998</v>
      </c>
      <c r="AH26" s="36">
        <v>0.69545455</v>
      </c>
      <c r="AI26" s="36">
        <v>456</v>
      </c>
      <c r="AJ26" s="36">
        <v>849</v>
      </c>
      <c r="AK26" s="36">
        <v>1.86184211</v>
      </c>
      <c r="AL26" s="36">
        <v>0.66</v>
      </c>
      <c r="AM26" s="36">
        <v>0.21</v>
      </c>
      <c r="AN26" s="36">
        <v>222.27462800000001</v>
      </c>
      <c r="AO26" s="36">
        <v>0.82786884999999999</v>
      </c>
      <c r="AP26" s="36">
        <v>0.90640394000000002</v>
      </c>
      <c r="AQ26" s="36">
        <v>0.42857142999999998</v>
      </c>
      <c r="AR26" s="36">
        <v>0.42857142999999998</v>
      </c>
      <c r="AS26" s="36">
        <v>0.69</v>
      </c>
      <c r="AT26" s="36">
        <v>0.69285713999999998</v>
      </c>
      <c r="AU26" s="36">
        <v>250</v>
      </c>
      <c r="AV26" s="36">
        <v>250</v>
      </c>
      <c r="AW26" s="36">
        <v>37</v>
      </c>
      <c r="AX26" s="36">
        <v>287</v>
      </c>
      <c r="AY26" s="36">
        <v>87.108013940000006</v>
      </c>
      <c r="AZ26" s="36">
        <v>1.1479999999999999</v>
      </c>
      <c r="BA26" s="36">
        <v>0.66</v>
      </c>
      <c r="BB26" s="36">
        <v>25</v>
      </c>
      <c r="BC26" s="36">
        <v>0.21</v>
      </c>
      <c r="BD26" s="36">
        <v>82</v>
      </c>
      <c r="BE26" s="36">
        <v>18</v>
      </c>
      <c r="BF26" s="36">
        <v>35</v>
      </c>
      <c r="BG26" s="36">
        <v>5.8571428570000004</v>
      </c>
      <c r="BH26" s="36">
        <v>111.6285714</v>
      </c>
      <c r="BI26" s="36">
        <v>1.483714467</v>
      </c>
      <c r="BJ26" s="36">
        <v>252.9155543</v>
      </c>
      <c r="BK26" s="36">
        <v>84</v>
      </c>
      <c r="BL26" s="36">
        <v>20.24242379</v>
      </c>
      <c r="BM26" s="36">
        <v>77.027027029999999</v>
      </c>
      <c r="BN26" s="36">
        <v>22.972972970000001</v>
      </c>
      <c r="BO26" s="36">
        <v>74</v>
      </c>
      <c r="BP26" s="36">
        <v>9</v>
      </c>
      <c r="BQ26" s="36">
        <v>6.3333333329999997</v>
      </c>
      <c r="BR26" s="36">
        <v>126.44444439999999</v>
      </c>
      <c r="BS26" s="36">
        <v>0.3815265773</v>
      </c>
      <c r="BT26" s="36">
        <v>93.589743589999998</v>
      </c>
      <c r="BU26" s="36">
        <v>84.090909100000005</v>
      </c>
      <c r="BV26" s="36">
        <v>15.90909091</v>
      </c>
      <c r="BW26" s="36">
        <v>176</v>
      </c>
      <c r="BX26" s="36">
        <v>26</v>
      </c>
      <c r="BY26" s="36">
        <v>5.692307692</v>
      </c>
      <c r="BZ26" s="36">
        <v>106.5</v>
      </c>
      <c r="CA26" s="36">
        <v>2.2005924669999999</v>
      </c>
      <c r="CB26" s="36">
        <v>84.688995199999994</v>
      </c>
      <c r="CC26" s="36">
        <v>3238</v>
      </c>
      <c r="CD26" s="36">
        <v>552</v>
      </c>
      <c r="CE26" s="36">
        <v>3790</v>
      </c>
      <c r="CF26" s="36">
        <v>85.435356200000001</v>
      </c>
      <c r="CG26" s="36">
        <v>19.739583329999999</v>
      </c>
      <c r="CH26" s="36">
        <v>20</v>
      </c>
      <c r="CI26" s="36">
        <v>9</v>
      </c>
      <c r="CJ26" s="37">
        <v>101.06125040000001</v>
      </c>
      <c r="CK26" s="37"/>
      <c r="CL26" s="24"/>
      <c r="CM26" s="24"/>
      <c r="CN26" s="24"/>
      <c r="CO26" s="24"/>
      <c r="CP26" s="35">
        <v>0.48827999999999999</v>
      </c>
      <c r="CQ26" s="35">
        <v>1.4951570000000001</v>
      </c>
      <c r="CR26" s="35">
        <v>5.0501610000000001</v>
      </c>
      <c r="CS26" s="35">
        <v>0.60848000000000002</v>
      </c>
      <c r="CT26" s="35">
        <v>1.042932</v>
      </c>
      <c r="CU26" s="35">
        <v>-7.0330000000000004E-2</v>
      </c>
      <c r="CV26" s="35">
        <v>0.195411</v>
      </c>
    </row>
    <row r="27" spans="1:100" ht="15.75" x14ac:dyDescent="0.25">
      <c r="A27" s="24">
        <v>26</v>
      </c>
      <c r="B27" s="24" t="s">
        <v>211</v>
      </c>
      <c r="C27" s="24" t="s">
        <v>51</v>
      </c>
      <c r="D27" s="32">
        <v>23.9</v>
      </c>
      <c r="E27" s="32">
        <v>1.58</v>
      </c>
      <c r="F27" s="24"/>
      <c r="G27" s="35">
        <v>4.7699999999999996</v>
      </c>
      <c r="H27" s="32">
        <v>0.48</v>
      </c>
      <c r="I27" s="24"/>
      <c r="J27" s="35">
        <v>13.9</v>
      </c>
      <c r="K27" s="24"/>
      <c r="L27" s="24"/>
      <c r="M27" s="24"/>
      <c r="N27" s="24"/>
      <c r="O27" s="24"/>
      <c r="P27" s="24"/>
      <c r="Q27" s="36">
        <v>0.78472222000000003</v>
      </c>
      <c r="R27" s="36">
        <v>0.45161289999999998</v>
      </c>
      <c r="S27" s="36">
        <v>0.8</v>
      </c>
      <c r="T27" s="36">
        <v>549</v>
      </c>
      <c r="U27" s="36">
        <v>844</v>
      </c>
      <c r="V27" s="36">
        <v>1.5373406199999999</v>
      </c>
      <c r="W27" s="36">
        <v>0.79</v>
      </c>
      <c r="X27" s="36">
        <v>0.2</v>
      </c>
      <c r="Y27" s="36">
        <v>185.213334</v>
      </c>
      <c r="Z27" s="36">
        <v>0.80136985999999999</v>
      </c>
      <c r="AA27" s="36">
        <v>0.77622378000000003</v>
      </c>
      <c r="AB27" s="36">
        <v>0.39130435000000002</v>
      </c>
      <c r="AC27" s="36">
        <v>0.48717948999999999</v>
      </c>
      <c r="AD27" s="36">
        <v>0.81818181999999995</v>
      </c>
      <c r="AE27" s="36">
        <v>0.80588234999999997</v>
      </c>
      <c r="AF27" s="36">
        <v>0.92333332999999995</v>
      </c>
      <c r="AG27" s="36">
        <v>0.42372881000000001</v>
      </c>
      <c r="AH27" s="36">
        <v>0.73888889000000002</v>
      </c>
      <c r="AI27" s="36">
        <v>377</v>
      </c>
      <c r="AJ27" s="36">
        <v>682</v>
      </c>
      <c r="AK27" s="36">
        <v>1.8090185700000001</v>
      </c>
      <c r="AL27" s="36">
        <v>0.66</v>
      </c>
      <c r="AM27" s="36">
        <v>0.18</v>
      </c>
      <c r="AN27" s="36">
        <v>187.24519699999999</v>
      </c>
      <c r="AO27" s="36">
        <v>0.91752577000000002</v>
      </c>
      <c r="AP27" s="36">
        <v>0.92610837000000001</v>
      </c>
      <c r="AQ27" s="36">
        <v>0.34782608999999998</v>
      </c>
      <c r="AR27" s="36">
        <v>0.47222222000000003</v>
      </c>
      <c r="AS27" s="36">
        <v>0.65</v>
      </c>
      <c r="AT27" s="36">
        <v>0.78461537999999997</v>
      </c>
      <c r="AU27" s="36">
        <v>181</v>
      </c>
      <c r="AV27" s="36">
        <v>181</v>
      </c>
      <c r="AW27" s="36">
        <v>95</v>
      </c>
      <c r="AX27" s="36">
        <v>276</v>
      </c>
      <c r="AY27" s="36">
        <v>65.579710140000003</v>
      </c>
      <c r="AZ27" s="36">
        <v>1.5248618780000001</v>
      </c>
      <c r="BA27" s="36">
        <v>0.66</v>
      </c>
      <c r="BB27" s="36">
        <v>24</v>
      </c>
      <c r="BC27" s="36">
        <v>0.15</v>
      </c>
      <c r="BD27" s="36">
        <v>62.983425410000002</v>
      </c>
      <c r="BE27" s="36">
        <v>37.016574589999998</v>
      </c>
      <c r="BF27" s="36">
        <v>23</v>
      </c>
      <c r="BG27" s="36">
        <v>4.9565217390000003</v>
      </c>
      <c r="BH27" s="36">
        <v>76.652173910000002</v>
      </c>
      <c r="BI27" s="36">
        <v>1.0301326230000001</v>
      </c>
      <c r="BJ27" s="36">
        <v>193.8011971</v>
      </c>
      <c r="BK27" s="36">
        <v>3</v>
      </c>
      <c r="BL27" s="36">
        <v>17.639281950000001</v>
      </c>
      <c r="BM27" s="36">
        <v>66.071428569999995</v>
      </c>
      <c r="BN27" s="36">
        <v>33.928571429999998</v>
      </c>
      <c r="BO27" s="36">
        <v>56</v>
      </c>
      <c r="BP27" s="36">
        <v>7</v>
      </c>
      <c r="BQ27" s="36">
        <v>5.2857142860000002</v>
      </c>
      <c r="BR27" s="36">
        <v>85.142857140000004</v>
      </c>
      <c r="BS27" s="36">
        <v>0.31351862450000001</v>
      </c>
      <c r="BT27" s="36">
        <v>64.772727270000004</v>
      </c>
      <c r="BU27" s="36">
        <v>61.6</v>
      </c>
      <c r="BV27" s="36">
        <v>38.4</v>
      </c>
      <c r="BW27" s="36">
        <v>125</v>
      </c>
      <c r="BX27" s="36">
        <v>16</v>
      </c>
      <c r="BY27" s="36">
        <v>4.8125</v>
      </c>
      <c r="BZ27" s="36">
        <v>72.9375</v>
      </c>
      <c r="CA27" s="36">
        <v>1.461520895</v>
      </c>
      <c r="CB27" s="36">
        <v>65.957446809999993</v>
      </c>
      <c r="CC27" s="36">
        <v>3516</v>
      </c>
      <c r="CD27" s="36">
        <v>834</v>
      </c>
      <c r="CE27" s="36">
        <v>4350</v>
      </c>
      <c r="CF27" s="36">
        <v>80.827586210000007</v>
      </c>
      <c r="CG27" s="36">
        <v>15.934065929999999</v>
      </c>
      <c r="CH27" s="36">
        <v>11.5</v>
      </c>
      <c r="CI27" s="36">
        <v>18</v>
      </c>
      <c r="CJ27" s="36">
        <v>143.40031010000001</v>
      </c>
      <c r="CK27" s="36">
        <v>19.90675306</v>
      </c>
      <c r="CL27" s="36">
        <v>10.64370868</v>
      </c>
      <c r="CM27" s="36">
        <v>2.1854061410000001</v>
      </c>
      <c r="CN27" s="36">
        <v>11.23306049</v>
      </c>
      <c r="CO27" s="36">
        <v>2.301204834</v>
      </c>
      <c r="CP27" s="35">
        <v>0.52693599999999996</v>
      </c>
      <c r="CQ27" s="35">
        <v>1.539382</v>
      </c>
      <c r="CR27" s="35">
        <v>3.5032179999999999</v>
      </c>
      <c r="CS27" s="35">
        <v>0.54303400000000002</v>
      </c>
      <c r="CT27" s="35">
        <v>1.0400750000000001</v>
      </c>
      <c r="CU27" s="35">
        <v>1.7847999999999999E-2</v>
      </c>
      <c r="CV27" s="35">
        <v>0.20159299999999999</v>
      </c>
    </row>
    <row r="28" spans="1:100" ht="15.75" x14ac:dyDescent="0.25">
      <c r="A28" s="24">
        <v>27</v>
      </c>
      <c r="B28" s="24" t="s">
        <v>212</v>
      </c>
      <c r="C28" s="24" t="s">
        <v>51</v>
      </c>
      <c r="D28" s="32">
        <v>24.1</v>
      </c>
      <c r="E28" s="32">
        <v>1.29</v>
      </c>
      <c r="F28" s="24"/>
      <c r="G28" s="35">
        <v>4.74</v>
      </c>
      <c r="H28" s="32">
        <v>0.41</v>
      </c>
      <c r="I28" s="24"/>
      <c r="J28" s="35">
        <v>14.45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36">
        <v>0.87375415000000001</v>
      </c>
      <c r="AG28" s="36">
        <v>0.46250000000000002</v>
      </c>
      <c r="AH28" s="36">
        <v>0.70499999999999996</v>
      </c>
      <c r="AI28" s="36">
        <v>419</v>
      </c>
      <c r="AJ28" s="36">
        <v>732</v>
      </c>
      <c r="AK28" s="36">
        <v>1.74701671</v>
      </c>
      <c r="AL28" s="36">
        <v>0.66</v>
      </c>
      <c r="AM28" s="36">
        <v>0.18</v>
      </c>
      <c r="AN28" s="36">
        <v>204.62965600000001</v>
      </c>
      <c r="AO28" s="36">
        <v>0.79381442999999996</v>
      </c>
      <c r="AP28" s="36">
        <v>0.91089109000000001</v>
      </c>
      <c r="AQ28" s="36">
        <v>0.41379310000000002</v>
      </c>
      <c r="AR28" s="36">
        <v>0.49019607999999998</v>
      </c>
      <c r="AS28" s="36">
        <v>0.75</v>
      </c>
      <c r="AT28" s="36">
        <v>0.73333333000000001</v>
      </c>
      <c r="AU28" s="36">
        <v>222</v>
      </c>
      <c r="AV28" s="36">
        <v>222</v>
      </c>
      <c r="AW28" s="36">
        <v>109</v>
      </c>
      <c r="AX28" s="36">
        <v>331</v>
      </c>
      <c r="AY28" s="36">
        <v>67.069486400000002</v>
      </c>
      <c r="AZ28" s="36">
        <v>1.4909909910000001</v>
      </c>
      <c r="BA28" s="36">
        <v>0.66</v>
      </c>
      <c r="BB28" s="36">
        <v>25</v>
      </c>
      <c r="BC28" s="36">
        <v>0.18</v>
      </c>
      <c r="BD28" s="36">
        <v>65.765765770000002</v>
      </c>
      <c r="BE28" s="36">
        <v>34.234234229999998</v>
      </c>
      <c r="BF28" s="36">
        <v>30</v>
      </c>
      <c r="BG28" s="36">
        <v>4.8666666669999996</v>
      </c>
      <c r="BH28" s="36">
        <v>81.066666670000004</v>
      </c>
      <c r="BI28" s="36">
        <v>1.335443664</v>
      </c>
      <c r="BJ28" s="36">
        <v>222.499594</v>
      </c>
      <c r="BK28" s="36">
        <v>23</v>
      </c>
      <c r="BL28" s="36">
        <v>19.324558570000001</v>
      </c>
      <c r="BM28" s="36">
        <v>64.150943400000003</v>
      </c>
      <c r="BN28" s="36">
        <v>35.849056599999997</v>
      </c>
      <c r="BO28" s="36">
        <v>53</v>
      </c>
      <c r="BP28" s="36">
        <v>8</v>
      </c>
      <c r="BQ28" s="36">
        <v>4.25</v>
      </c>
      <c r="BR28" s="36">
        <v>64.25</v>
      </c>
      <c r="BS28" s="36">
        <v>0.35611831040000003</v>
      </c>
      <c r="BT28" s="36">
        <v>64.634146340000001</v>
      </c>
      <c r="BU28" s="36">
        <v>66.272189350000005</v>
      </c>
      <c r="BV28" s="36">
        <v>33.727810650000002</v>
      </c>
      <c r="BW28" s="36">
        <v>169</v>
      </c>
      <c r="BX28" s="36">
        <v>22</v>
      </c>
      <c r="BY28" s="36">
        <v>5.0909090910000003</v>
      </c>
      <c r="BZ28" s="36">
        <v>87.181818179999993</v>
      </c>
      <c r="CA28" s="36">
        <v>1.963165853</v>
      </c>
      <c r="CB28" s="36">
        <v>67.871485899999996</v>
      </c>
      <c r="CC28" s="36">
        <v>2032</v>
      </c>
      <c r="CD28" s="36">
        <v>567</v>
      </c>
      <c r="CE28" s="36">
        <v>2599</v>
      </c>
      <c r="CF28" s="36">
        <v>78.183916890000006</v>
      </c>
      <c r="CG28" s="36">
        <v>11.34934498</v>
      </c>
      <c r="CH28" s="36">
        <v>7</v>
      </c>
      <c r="CI28" s="36">
        <v>21</v>
      </c>
      <c r="CJ28" s="36">
        <v>124.36968450000001</v>
      </c>
      <c r="CK28" s="36">
        <v>23.38239239</v>
      </c>
      <c r="CL28" s="36">
        <v>8.0466065800000006</v>
      </c>
      <c r="CM28" s="36">
        <v>2.1844945419999999</v>
      </c>
      <c r="CN28" s="36">
        <v>8.6212756689999992</v>
      </c>
      <c r="CO28" s="36">
        <v>2.3307639039999999</v>
      </c>
      <c r="CP28" s="35">
        <v>6.1807000000000001E-2</v>
      </c>
      <c r="CQ28" s="35">
        <v>1.0605249999999999</v>
      </c>
      <c r="CR28" s="35">
        <v>5.1359839999999997</v>
      </c>
      <c r="CS28" s="35">
        <v>0.32060100000000002</v>
      </c>
      <c r="CT28" s="35">
        <v>0.49567099999999997</v>
      </c>
      <c r="CU28" s="35">
        <v>-0.38294</v>
      </c>
      <c r="CV28" s="35">
        <v>0.12629899999999999</v>
      </c>
    </row>
    <row r="29" spans="1:100" ht="15.75" x14ac:dyDescent="0.25">
      <c r="A29" s="24">
        <v>28</v>
      </c>
      <c r="B29" s="24" t="s">
        <v>213</v>
      </c>
      <c r="C29" s="24" t="s">
        <v>51</v>
      </c>
      <c r="D29" s="32">
        <v>25.3</v>
      </c>
      <c r="E29" s="32">
        <v>1.76</v>
      </c>
      <c r="F29" s="24"/>
      <c r="G29" s="35">
        <v>4.8899999999999997</v>
      </c>
      <c r="H29" s="32">
        <v>0.27</v>
      </c>
      <c r="I29" s="24"/>
      <c r="J29" s="35">
        <v>13.74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36">
        <v>0.87311178</v>
      </c>
      <c r="AG29" s="36">
        <v>0.45</v>
      </c>
      <c r="AH29" s="36">
        <v>0.72105262999999997</v>
      </c>
      <c r="AI29" s="36">
        <v>401</v>
      </c>
      <c r="AJ29" s="36">
        <v>663</v>
      </c>
      <c r="AK29" s="36">
        <v>1.6533665799999999</v>
      </c>
      <c r="AL29" s="36">
        <v>0.72</v>
      </c>
      <c r="AM29" s="36">
        <v>0.18</v>
      </c>
      <c r="AN29" s="36">
        <v>195.423292</v>
      </c>
      <c r="AO29" s="36">
        <v>0.88679244999999995</v>
      </c>
      <c r="AP29" s="36">
        <v>0.86607142999999998</v>
      </c>
      <c r="AQ29" s="36">
        <v>0.46666667000000001</v>
      </c>
      <c r="AR29" s="36">
        <v>0.44444444</v>
      </c>
      <c r="AS29" s="36">
        <v>0.72857143000000002</v>
      </c>
      <c r="AT29" s="36">
        <v>0.70769230999999999</v>
      </c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36">
        <v>2656</v>
      </c>
      <c r="CD29" s="36">
        <v>379</v>
      </c>
      <c r="CE29" s="36">
        <v>3035</v>
      </c>
      <c r="CF29" s="36">
        <v>87.512355850000006</v>
      </c>
      <c r="CG29" s="36">
        <v>11.90196078</v>
      </c>
      <c r="CH29" s="36">
        <v>6</v>
      </c>
      <c r="CI29" s="36">
        <v>23</v>
      </c>
      <c r="CJ29" s="36">
        <v>135.39406969999999</v>
      </c>
      <c r="CK29" s="36">
        <v>28.029774920000001</v>
      </c>
      <c r="CL29" s="36">
        <v>6.1510356020000003</v>
      </c>
      <c r="CM29" s="36">
        <v>1.574308722</v>
      </c>
      <c r="CN29" s="36">
        <v>7.6252379719999999</v>
      </c>
      <c r="CO29" s="36">
        <v>1.7793382959999999</v>
      </c>
      <c r="CP29" s="35">
        <v>0.122679</v>
      </c>
      <c r="CQ29" s="35">
        <v>1.160083</v>
      </c>
      <c r="CR29" s="35">
        <v>5.556406</v>
      </c>
      <c r="CS29" s="35">
        <v>0.57484599999999997</v>
      </c>
      <c r="CT29" s="35">
        <v>0.58753599999999995</v>
      </c>
      <c r="CU29" s="35">
        <v>-0.34262999999999999</v>
      </c>
      <c r="CV29" s="35">
        <v>0.136771</v>
      </c>
    </row>
    <row r="30" spans="1:100" ht="15.75" x14ac:dyDescent="0.25">
      <c r="A30" s="24">
        <v>29</v>
      </c>
      <c r="B30" s="24" t="s">
        <v>214</v>
      </c>
      <c r="C30" s="24" t="s">
        <v>51</v>
      </c>
      <c r="D30" s="32">
        <v>23.8</v>
      </c>
      <c r="E30" s="32">
        <v>-7.0000000000000007E-2</v>
      </c>
      <c r="F30" s="24"/>
      <c r="G30" s="35">
        <v>4.25</v>
      </c>
      <c r="H30" s="32">
        <v>-0.03</v>
      </c>
      <c r="I30" s="24"/>
      <c r="J30" s="35">
        <v>7.59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36">
        <v>0.89705882000000003</v>
      </c>
      <c r="AG30" s="36">
        <v>0.48717948999999999</v>
      </c>
      <c r="AH30" s="36">
        <v>0.66</v>
      </c>
      <c r="AI30" s="36">
        <v>310</v>
      </c>
      <c r="AJ30" s="36">
        <v>568</v>
      </c>
      <c r="AK30" s="36">
        <v>1.83225807</v>
      </c>
      <c r="AL30" s="36">
        <v>0.66</v>
      </c>
      <c r="AM30" s="36">
        <v>0.2</v>
      </c>
      <c r="AN30" s="36">
        <v>151.25471400000001</v>
      </c>
      <c r="AO30" s="36">
        <v>0.91379310000000002</v>
      </c>
      <c r="AP30" s="36">
        <v>0.89041095999999997</v>
      </c>
      <c r="AQ30" s="36">
        <v>0.66666667000000002</v>
      </c>
      <c r="AR30" s="36">
        <v>0.33333332999999998</v>
      </c>
      <c r="AS30" s="36">
        <v>0.55714286000000002</v>
      </c>
      <c r="AT30" s="36">
        <v>0.71</v>
      </c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36">
        <v>5878</v>
      </c>
      <c r="CD30" s="36">
        <v>1245</v>
      </c>
      <c r="CE30" s="36">
        <v>7123</v>
      </c>
      <c r="CF30" s="36">
        <v>82.521409520000006</v>
      </c>
      <c r="CG30" s="36">
        <v>29.192622950000001</v>
      </c>
      <c r="CH30" s="36">
        <v>37</v>
      </c>
      <c r="CI30" s="36">
        <v>7</v>
      </c>
      <c r="CJ30" s="37">
        <v>128.01321329999999</v>
      </c>
      <c r="CK30" s="37"/>
      <c r="CL30" s="24"/>
      <c r="CM30" s="24"/>
      <c r="CN30" s="24"/>
      <c r="CO30" s="24"/>
      <c r="CP30" s="35">
        <v>0.17993100000000001</v>
      </c>
      <c r="CQ30" s="35">
        <v>1.601793</v>
      </c>
      <c r="CR30" s="35">
        <v>5.4966540000000004</v>
      </c>
      <c r="CS30" s="35">
        <v>0.56484999999999996</v>
      </c>
      <c r="CT30" s="35">
        <v>0.80208800000000002</v>
      </c>
      <c r="CU30" s="35">
        <v>-0.44256000000000001</v>
      </c>
      <c r="CV30" s="35">
        <v>0.14674400000000001</v>
      </c>
    </row>
    <row r="31" spans="1:100" ht="15.75" x14ac:dyDescent="0.25">
      <c r="A31" s="24">
        <v>30</v>
      </c>
      <c r="B31" s="24" t="s">
        <v>215</v>
      </c>
      <c r="C31" s="24" t="s">
        <v>51</v>
      </c>
      <c r="D31" s="32">
        <v>24.1</v>
      </c>
      <c r="E31" s="32">
        <v>1.48</v>
      </c>
      <c r="F31" s="24"/>
      <c r="G31" s="35">
        <v>4.88</v>
      </c>
      <c r="H31" s="32">
        <v>0.25</v>
      </c>
      <c r="I31" s="24"/>
      <c r="J31" s="35">
        <v>9.85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36">
        <v>954</v>
      </c>
      <c r="CD31" s="36">
        <v>430</v>
      </c>
      <c r="CE31" s="36">
        <v>1384</v>
      </c>
      <c r="CF31" s="36">
        <v>68.930635800000005</v>
      </c>
      <c r="CG31" s="36">
        <v>9.7464788729999992</v>
      </c>
      <c r="CH31" s="36">
        <v>7</v>
      </c>
      <c r="CI31" s="36">
        <v>17</v>
      </c>
      <c r="CJ31" s="36">
        <v>74.582824209999998</v>
      </c>
      <c r="CK31" s="36">
        <v>18.730050469999998</v>
      </c>
      <c r="CL31" s="36">
        <v>6.3025685339999997</v>
      </c>
      <c r="CM31" s="36">
        <v>1.9901092039999999</v>
      </c>
      <c r="CN31" s="36">
        <v>6.6337598599999996</v>
      </c>
      <c r="CO31" s="36">
        <v>2.0845493390000001</v>
      </c>
      <c r="CP31" s="35">
        <v>-0.10340000000000001</v>
      </c>
      <c r="CQ31" s="35">
        <v>1.4007590000000001</v>
      </c>
      <c r="CR31" s="35">
        <v>3.614239</v>
      </c>
      <c r="CS31" s="35">
        <v>0.48199900000000001</v>
      </c>
      <c r="CT31" s="35">
        <v>0.453094</v>
      </c>
      <c r="CU31" s="35">
        <v>-0.65580000000000005</v>
      </c>
      <c r="CV31" s="35">
        <v>0.101732</v>
      </c>
    </row>
    <row r="32" spans="1:100" ht="15.75" x14ac:dyDescent="0.25">
      <c r="A32" s="24">
        <v>31</v>
      </c>
      <c r="B32" s="24" t="s">
        <v>216</v>
      </c>
      <c r="C32" s="24" t="s">
        <v>51</v>
      </c>
      <c r="D32" s="32">
        <v>23.1</v>
      </c>
      <c r="E32" s="32">
        <v>0.93</v>
      </c>
      <c r="F32" s="24"/>
      <c r="G32" s="35">
        <v>3.83</v>
      </c>
      <c r="H32" s="32">
        <v>0.28999999999999998</v>
      </c>
      <c r="I32" s="24"/>
      <c r="J32" s="35">
        <v>10.18</v>
      </c>
      <c r="K32" s="24"/>
      <c r="L32" s="24"/>
      <c r="M32" s="24"/>
      <c r="N32" s="24"/>
      <c r="O32" s="24"/>
      <c r="P32" s="24"/>
      <c r="Q32" s="36">
        <v>0.83819628999999996</v>
      </c>
      <c r="R32" s="36">
        <v>0.44444444</v>
      </c>
      <c r="S32" s="36">
        <v>0.73703704000000003</v>
      </c>
      <c r="T32" s="36">
        <v>545</v>
      </c>
      <c r="U32" s="36">
        <v>843</v>
      </c>
      <c r="V32" s="36">
        <v>1.54678899</v>
      </c>
      <c r="W32" s="36">
        <v>0.85</v>
      </c>
      <c r="X32" s="36">
        <v>0.13</v>
      </c>
      <c r="Y32" s="36">
        <v>181.00187600000001</v>
      </c>
      <c r="Z32" s="36">
        <v>0.85185184999999997</v>
      </c>
      <c r="AA32" s="36">
        <v>0.83057851000000005</v>
      </c>
      <c r="AB32" s="36">
        <v>0.5</v>
      </c>
      <c r="AC32" s="36">
        <v>0.41463414999999998</v>
      </c>
      <c r="AD32" s="36">
        <v>0.75454544999999995</v>
      </c>
      <c r="AE32" s="36">
        <v>0.72941175999999996</v>
      </c>
      <c r="AF32" s="36">
        <v>0.84210525999999997</v>
      </c>
      <c r="AG32" s="36">
        <v>0.50909090999999995</v>
      </c>
      <c r="AH32" s="36">
        <v>0.67058823999999995</v>
      </c>
      <c r="AI32" s="36">
        <v>360</v>
      </c>
      <c r="AJ32" s="36">
        <v>654</v>
      </c>
      <c r="AK32" s="36">
        <v>1.81666667</v>
      </c>
      <c r="AL32" s="36">
        <v>0.66</v>
      </c>
      <c r="AM32" s="36">
        <v>0.14000000000000001</v>
      </c>
      <c r="AN32" s="36">
        <v>175.743707</v>
      </c>
      <c r="AO32" s="36">
        <v>0.93684210999999995</v>
      </c>
      <c r="AP32" s="36">
        <v>0.78289474000000003</v>
      </c>
      <c r="AQ32" s="36">
        <v>0.70588234999999999</v>
      </c>
      <c r="AR32" s="36">
        <v>0.42105262999999998</v>
      </c>
      <c r="AS32" s="36">
        <v>0.67777778</v>
      </c>
      <c r="AT32" s="36">
        <v>0.61</v>
      </c>
      <c r="AU32" s="36">
        <v>189</v>
      </c>
      <c r="AV32" s="36">
        <v>189</v>
      </c>
      <c r="AW32" s="36">
        <v>116</v>
      </c>
      <c r="AX32" s="36">
        <v>305</v>
      </c>
      <c r="AY32" s="36">
        <v>61.967213110000003</v>
      </c>
      <c r="AZ32" s="36">
        <v>1.6137566139999999</v>
      </c>
      <c r="BA32" s="36">
        <v>0.72</v>
      </c>
      <c r="BB32" s="36">
        <v>22</v>
      </c>
      <c r="BC32" s="36">
        <v>0.16</v>
      </c>
      <c r="BD32" s="36">
        <v>78.306878299999994</v>
      </c>
      <c r="BE32" s="36">
        <v>21.693121690000002</v>
      </c>
      <c r="BF32" s="36">
        <v>25</v>
      </c>
      <c r="BG32" s="36">
        <v>5.92</v>
      </c>
      <c r="BH32" s="36">
        <v>97.96</v>
      </c>
      <c r="BI32" s="36">
        <v>1.0857108390000001</v>
      </c>
      <c r="BJ32" s="36">
        <v>196.1089494</v>
      </c>
      <c r="BK32" s="36">
        <v>15</v>
      </c>
      <c r="BL32" s="36">
        <v>18.95118824</v>
      </c>
      <c r="BM32" s="36">
        <v>71.428571430000005</v>
      </c>
      <c r="BN32" s="36">
        <v>28.571428569999998</v>
      </c>
      <c r="BO32" s="36">
        <v>56</v>
      </c>
      <c r="BP32" s="36">
        <v>7</v>
      </c>
      <c r="BQ32" s="36">
        <v>5.7142857139999998</v>
      </c>
      <c r="BR32" s="36">
        <v>94.714285709999999</v>
      </c>
      <c r="BS32" s="36">
        <v>0.30399903490000002</v>
      </c>
      <c r="BT32" s="36">
        <v>50</v>
      </c>
      <c r="BU32" s="36">
        <v>81.203007499999998</v>
      </c>
      <c r="BV32" s="36">
        <v>18.79699248</v>
      </c>
      <c r="BW32" s="36">
        <v>133</v>
      </c>
      <c r="BX32" s="36">
        <v>18</v>
      </c>
      <c r="BY32" s="36">
        <v>6</v>
      </c>
      <c r="BZ32" s="36">
        <v>99.222222220000006</v>
      </c>
      <c r="CA32" s="36">
        <v>1.5156476590000001</v>
      </c>
      <c r="CB32" s="36">
        <v>69.109947640000001</v>
      </c>
      <c r="CC32" s="36">
        <v>1546</v>
      </c>
      <c r="CD32" s="36">
        <v>516</v>
      </c>
      <c r="CE32" s="36">
        <v>2062</v>
      </c>
      <c r="CF32" s="36">
        <v>74.975751700000004</v>
      </c>
      <c r="CG32" s="36">
        <v>9.9613526599999993</v>
      </c>
      <c r="CH32" s="36">
        <v>5</v>
      </c>
      <c r="CI32" s="36">
        <v>26</v>
      </c>
      <c r="CJ32" s="36">
        <v>108.9593157</v>
      </c>
      <c r="CK32" s="36">
        <v>29.561707899999998</v>
      </c>
      <c r="CL32" s="36">
        <v>5.5472800969999998</v>
      </c>
      <c r="CM32" s="36">
        <v>2.16570529</v>
      </c>
      <c r="CN32" s="36">
        <v>6.1207876399999996</v>
      </c>
      <c r="CO32" s="36">
        <v>2.3577427559999999</v>
      </c>
      <c r="CP32" s="35">
        <v>-0.45885999999999999</v>
      </c>
      <c r="CQ32" s="35">
        <v>0.44702799999999998</v>
      </c>
      <c r="CR32" s="35">
        <v>4.5077680000000004</v>
      </c>
      <c r="CS32" s="35">
        <v>0.32895400000000002</v>
      </c>
      <c r="CT32" s="35">
        <v>-0.25586999999999999</v>
      </c>
      <c r="CU32" s="35">
        <v>-0.65966000000000002</v>
      </c>
      <c r="CV32" s="35">
        <v>4.5106E-2</v>
      </c>
    </row>
    <row r="33" spans="1:100" ht="15.75" x14ac:dyDescent="0.25">
      <c r="A33" s="24">
        <v>32</v>
      </c>
      <c r="B33" s="24" t="s">
        <v>217</v>
      </c>
      <c r="C33" s="24" t="s">
        <v>51</v>
      </c>
      <c r="D33" s="32">
        <v>23.1</v>
      </c>
      <c r="E33" s="32">
        <v>1.45</v>
      </c>
      <c r="F33" s="24"/>
      <c r="G33" s="35">
        <v>4.88</v>
      </c>
      <c r="H33" s="32">
        <v>0.24</v>
      </c>
      <c r="I33" s="24"/>
      <c r="J33" s="35">
        <v>13.04</v>
      </c>
      <c r="K33" s="24"/>
      <c r="L33" s="24"/>
      <c r="M33" s="24"/>
      <c r="N33" s="24"/>
      <c r="O33" s="24"/>
      <c r="P33" s="24"/>
      <c r="Q33" s="36">
        <v>0.80382774999999995</v>
      </c>
      <c r="R33" s="36">
        <v>0.47368420999999999</v>
      </c>
      <c r="S33" s="36">
        <v>0.81923077</v>
      </c>
      <c r="T33" s="36">
        <v>527</v>
      </c>
      <c r="U33" s="36">
        <v>804</v>
      </c>
      <c r="V33" s="36">
        <v>1.5256167</v>
      </c>
      <c r="W33" s="36">
        <v>0.72</v>
      </c>
      <c r="X33" s="36">
        <v>0.22</v>
      </c>
      <c r="Y33" s="36">
        <v>176.25349800000001</v>
      </c>
      <c r="Z33" s="36">
        <v>0.83703704000000001</v>
      </c>
      <c r="AA33" s="36">
        <v>0.78798586999999998</v>
      </c>
      <c r="AB33" s="36">
        <v>0.35294118000000002</v>
      </c>
      <c r="AC33" s="36">
        <v>0.52500000000000002</v>
      </c>
      <c r="AD33" s="36">
        <v>0.81111111000000002</v>
      </c>
      <c r="AE33" s="36">
        <v>0.78333333000000005</v>
      </c>
      <c r="AF33" s="36">
        <v>0.91970803000000001</v>
      </c>
      <c r="AG33" s="36">
        <v>0.42647058999999998</v>
      </c>
      <c r="AH33" s="36">
        <v>0.68235294000000002</v>
      </c>
      <c r="AI33" s="36">
        <v>351</v>
      </c>
      <c r="AJ33" s="36">
        <v>672</v>
      </c>
      <c r="AK33" s="36">
        <v>1.9145299200000001</v>
      </c>
      <c r="AL33" s="36">
        <v>0.66</v>
      </c>
      <c r="AM33" s="36">
        <v>0.24</v>
      </c>
      <c r="AN33" s="36">
        <v>170.60401999999999</v>
      </c>
      <c r="AO33" s="36">
        <v>0.92035398000000002</v>
      </c>
      <c r="AP33" s="36">
        <v>0.91874999999999996</v>
      </c>
      <c r="AQ33" s="36">
        <v>0.51612902999999999</v>
      </c>
      <c r="AR33" s="36">
        <v>0.35135135000000001</v>
      </c>
      <c r="AS33" s="36">
        <v>0.71111111000000005</v>
      </c>
      <c r="AT33" s="36">
        <v>0.6</v>
      </c>
      <c r="AU33" s="36">
        <v>191</v>
      </c>
      <c r="AV33" s="36">
        <v>191</v>
      </c>
      <c r="AW33" s="36">
        <v>74</v>
      </c>
      <c r="AX33" s="36">
        <v>265</v>
      </c>
      <c r="AY33" s="36">
        <v>72.075471699999994</v>
      </c>
      <c r="AZ33" s="36">
        <v>1.387434555</v>
      </c>
      <c r="BA33" s="36">
        <v>0.66</v>
      </c>
      <c r="BB33" s="36">
        <v>24</v>
      </c>
      <c r="BC33" s="36">
        <v>0.17</v>
      </c>
      <c r="BD33" s="36">
        <v>74.345549700000007</v>
      </c>
      <c r="BE33" s="36">
        <v>25.654450260000001</v>
      </c>
      <c r="BF33" s="36">
        <v>26</v>
      </c>
      <c r="BG33" s="36">
        <v>5.461538462</v>
      </c>
      <c r="BH33" s="36">
        <v>96.42307692</v>
      </c>
      <c r="BI33" s="36">
        <v>1.112735832</v>
      </c>
      <c r="BJ33" s="36">
        <v>192.37826559999999</v>
      </c>
      <c r="BK33" s="36">
        <v>23</v>
      </c>
      <c r="BL33" s="36">
        <v>18.28984311</v>
      </c>
      <c r="BM33" s="36">
        <v>84.7457627</v>
      </c>
      <c r="BN33" s="36">
        <v>15.254237290000001</v>
      </c>
      <c r="BO33" s="36">
        <v>59</v>
      </c>
      <c r="BP33" s="36">
        <v>9</v>
      </c>
      <c r="BQ33" s="36">
        <v>5.5555555559999998</v>
      </c>
      <c r="BR33" s="36">
        <v>92.444444439999998</v>
      </c>
      <c r="BS33" s="36">
        <v>0.38517778809999997</v>
      </c>
      <c r="BT33" s="36">
        <v>64.130434780000002</v>
      </c>
      <c r="BU33" s="36">
        <v>69.696969699999997</v>
      </c>
      <c r="BV33" s="36">
        <v>30.3030303</v>
      </c>
      <c r="BW33" s="36">
        <v>132</v>
      </c>
      <c r="BX33" s="36">
        <v>17</v>
      </c>
      <c r="BY33" s="36">
        <v>5.4117647059999996</v>
      </c>
      <c r="BZ33" s="36">
        <v>98.529411760000002</v>
      </c>
      <c r="CA33" s="36">
        <v>1.429939952</v>
      </c>
      <c r="CB33" s="36">
        <v>76.300578029999997</v>
      </c>
      <c r="CC33" s="36">
        <v>2838</v>
      </c>
      <c r="CD33" s="36">
        <v>633</v>
      </c>
      <c r="CE33" s="36">
        <v>3471</v>
      </c>
      <c r="CF33" s="36">
        <v>81.763180640000002</v>
      </c>
      <c r="CG33" s="36">
        <v>12.57608696</v>
      </c>
      <c r="CH33" s="36">
        <v>8</v>
      </c>
      <c r="CI33" s="36">
        <v>22</v>
      </c>
      <c r="CJ33" s="36">
        <v>145.24988579999999</v>
      </c>
      <c r="CK33" s="36">
        <v>24.663920390000001</v>
      </c>
      <c r="CL33" s="36">
        <v>9.1629171649999996</v>
      </c>
      <c r="CM33" s="36">
        <v>2.6008395210000002</v>
      </c>
      <c r="CN33" s="36">
        <v>9.7659754959999994</v>
      </c>
      <c r="CO33" s="36">
        <v>2.788597132</v>
      </c>
      <c r="CP33" s="35">
        <v>-5.3499999999999997E-3</v>
      </c>
      <c r="CQ33" s="35">
        <v>1.2939929999999999</v>
      </c>
      <c r="CR33" s="35">
        <v>4.6565399999999997</v>
      </c>
      <c r="CS33" s="35">
        <v>0.50491699999999995</v>
      </c>
      <c r="CT33" s="35">
        <v>0.498836</v>
      </c>
      <c r="CU33" s="35">
        <v>-0.51715999999999995</v>
      </c>
      <c r="CV33" s="35">
        <v>0.11638</v>
      </c>
    </row>
    <row r="34" spans="1:100" ht="15.75" x14ac:dyDescent="0.25">
      <c r="A34" s="24">
        <v>33</v>
      </c>
      <c r="B34" s="24" t="s">
        <v>218</v>
      </c>
      <c r="C34" s="24" t="s">
        <v>51</v>
      </c>
      <c r="D34" s="32">
        <v>25.5</v>
      </c>
      <c r="E34" s="32">
        <v>1.22</v>
      </c>
      <c r="F34" s="24"/>
      <c r="G34" s="35">
        <v>4.7699999999999996</v>
      </c>
      <c r="H34" s="32">
        <v>0.17</v>
      </c>
      <c r="I34" s="24"/>
      <c r="J34" s="35">
        <v>20.149999999999999</v>
      </c>
      <c r="K34" s="24"/>
      <c r="L34" s="24"/>
      <c r="M34" s="24"/>
      <c r="N34" s="24"/>
      <c r="O34" s="24"/>
      <c r="P34" s="24"/>
      <c r="Q34" s="36">
        <v>0.90310078000000005</v>
      </c>
      <c r="R34" s="36">
        <v>0.46153845999999998</v>
      </c>
      <c r="S34" s="36">
        <v>0.81333332999999997</v>
      </c>
      <c r="T34" s="36">
        <v>618</v>
      </c>
      <c r="U34" s="36">
        <v>849</v>
      </c>
      <c r="V34" s="36">
        <v>1.3737864099999999</v>
      </c>
      <c r="W34" s="36">
        <v>0.79</v>
      </c>
      <c r="X34" s="36">
        <v>0.23</v>
      </c>
      <c r="Y34" s="36">
        <v>211.13352599999999</v>
      </c>
      <c r="Z34" s="36">
        <v>0.90395479999999995</v>
      </c>
      <c r="AA34" s="36">
        <v>0.90236685999999999</v>
      </c>
      <c r="AB34" s="36">
        <v>0.63636364000000001</v>
      </c>
      <c r="AC34" s="36">
        <v>0.39285713999999999</v>
      </c>
      <c r="AD34" s="36">
        <v>0.79166667000000002</v>
      </c>
      <c r="AE34" s="36">
        <v>0.83809524000000002</v>
      </c>
      <c r="AF34" s="36">
        <v>0.93948127000000003</v>
      </c>
      <c r="AG34" s="36">
        <v>0.57407406999999999</v>
      </c>
      <c r="AH34" s="36">
        <v>0.79</v>
      </c>
      <c r="AI34" s="36">
        <v>408</v>
      </c>
      <c r="AJ34" s="36">
        <v>692</v>
      </c>
      <c r="AK34" s="36">
        <v>1.69607843</v>
      </c>
      <c r="AL34" s="36">
        <v>0.66</v>
      </c>
      <c r="AM34" s="36">
        <v>0.22</v>
      </c>
      <c r="AN34" s="36">
        <v>199.877825</v>
      </c>
      <c r="AO34" s="36">
        <v>0.94166667000000004</v>
      </c>
      <c r="AP34" s="36">
        <v>0.93832599000000005</v>
      </c>
      <c r="AQ34" s="36">
        <v>0.8125</v>
      </c>
      <c r="AR34" s="36">
        <v>0.47368420999999999</v>
      </c>
      <c r="AS34" s="36">
        <v>0.8</v>
      </c>
      <c r="AT34" s="36">
        <v>0.74285714000000003</v>
      </c>
      <c r="AU34" s="36">
        <v>257</v>
      </c>
      <c r="AV34" s="36">
        <v>257</v>
      </c>
      <c r="AW34" s="36">
        <v>38</v>
      </c>
      <c r="AX34" s="36">
        <v>295</v>
      </c>
      <c r="AY34" s="36">
        <v>87.118644070000002</v>
      </c>
      <c r="AZ34" s="36">
        <v>1.1478599220000001</v>
      </c>
      <c r="BA34" s="36">
        <v>0.66</v>
      </c>
      <c r="BB34" s="36">
        <v>23</v>
      </c>
      <c r="BC34" s="36">
        <v>0.18</v>
      </c>
      <c r="BD34" s="36">
        <v>88.715953299999995</v>
      </c>
      <c r="BE34" s="36">
        <v>11.28404669</v>
      </c>
      <c r="BF34" s="36">
        <v>29</v>
      </c>
      <c r="BG34" s="36">
        <v>7.8620689659999998</v>
      </c>
      <c r="BH34" s="36">
        <v>154.41379309999999</v>
      </c>
      <c r="BI34" s="36">
        <v>1.2214240590000001</v>
      </c>
      <c r="BJ34" s="36">
        <v>259.25346469999999</v>
      </c>
      <c r="BK34" s="36">
        <v>15</v>
      </c>
      <c r="BL34" s="36">
        <v>21.730094999999999</v>
      </c>
      <c r="BM34" s="36">
        <v>91.139240509999993</v>
      </c>
      <c r="BN34" s="36">
        <v>8.8607594939999998</v>
      </c>
      <c r="BO34" s="36">
        <v>79</v>
      </c>
      <c r="BP34" s="36">
        <v>11</v>
      </c>
      <c r="BQ34" s="36">
        <v>6.5454545450000001</v>
      </c>
      <c r="BR34" s="36">
        <v>119.1818182</v>
      </c>
      <c r="BS34" s="36">
        <v>0.46329878089999998</v>
      </c>
      <c r="BT34" s="36">
        <v>80.612244899999993</v>
      </c>
      <c r="BU34" s="36">
        <v>87.640449439999998</v>
      </c>
      <c r="BV34" s="36">
        <v>12.359550560000001</v>
      </c>
      <c r="BW34" s="36">
        <v>178</v>
      </c>
      <c r="BX34" s="36">
        <v>18</v>
      </c>
      <c r="BY34" s="36">
        <v>8.6666666669999994</v>
      </c>
      <c r="BZ34" s="36">
        <v>175.94444440000001</v>
      </c>
      <c r="CA34" s="36">
        <v>1.7142857140000001</v>
      </c>
      <c r="CB34" s="36">
        <v>90.355329949999998</v>
      </c>
      <c r="CC34" s="36">
        <v>2172</v>
      </c>
      <c r="CD34" s="36">
        <v>358</v>
      </c>
      <c r="CE34" s="36">
        <v>2530</v>
      </c>
      <c r="CF34" s="36">
        <v>85.849802400000002</v>
      </c>
      <c r="CG34" s="36">
        <v>10.81196581</v>
      </c>
      <c r="CH34" s="36">
        <v>6</v>
      </c>
      <c r="CI34" s="36">
        <v>25</v>
      </c>
      <c r="CJ34" s="36">
        <v>123.43686080000001</v>
      </c>
      <c r="CK34" s="36">
        <v>28.589092109999999</v>
      </c>
      <c r="CL34" s="36">
        <v>6.1930556729999999</v>
      </c>
      <c r="CM34" s="36">
        <v>2.1913990239999999</v>
      </c>
      <c r="CN34" s="36">
        <v>6.8459456530000002</v>
      </c>
      <c r="CO34" s="36">
        <v>2.3977193290000001</v>
      </c>
      <c r="CP34" s="35">
        <v>-0.31358999999999998</v>
      </c>
      <c r="CQ34" s="35">
        <v>0.72424500000000003</v>
      </c>
      <c r="CR34" s="35">
        <v>4.2955759999999996</v>
      </c>
      <c r="CS34" s="35">
        <v>0.26512400000000003</v>
      </c>
      <c r="CT34" s="35">
        <v>5.3762999999999998E-2</v>
      </c>
      <c r="CU34" s="35">
        <v>-0.67845</v>
      </c>
      <c r="CV34" s="35">
        <v>6.8414000000000003E-2</v>
      </c>
    </row>
    <row r="35" spans="1:100" ht="15.75" x14ac:dyDescent="0.25">
      <c r="A35" s="24">
        <v>34</v>
      </c>
      <c r="B35" s="24" t="s">
        <v>219</v>
      </c>
      <c r="C35" s="24" t="s">
        <v>51</v>
      </c>
      <c r="D35" s="32">
        <v>24.9</v>
      </c>
      <c r="E35" s="32">
        <v>1.1299999999999999</v>
      </c>
      <c r="F35" s="24"/>
      <c r="G35" s="38">
        <v>5.21</v>
      </c>
      <c r="H35" s="32">
        <v>0.32</v>
      </c>
      <c r="I35" s="24"/>
      <c r="J35" s="35">
        <v>11.07</v>
      </c>
      <c r="K35" s="24"/>
      <c r="L35" s="24"/>
      <c r="M35" s="24"/>
      <c r="N35" s="24"/>
      <c r="O35" s="24"/>
      <c r="P35" s="24"/>
      <c r="Q35" s="36">
        <v>0.85714285999999995</v>
      </c>
      <c r="R35" s="36">
        <v>0.51111110999999998</v>
      </c>
      <c r="S35" s="36">
        <v>0.84444443999999996</v>
      </c>
      <c r="T35" s="36">
        <v>553</v>
      </c>
      <c r="U35" s="36">
        <v>789</v>
      </c>
      <c r="V35" s="36">
        <v>1.42676311</v>
      </c>
      <c r="W35" s="36">
        <v>0.85</v>
      </c>
      <c r="X35" s="36">
        <v>0.14000000000000001</v>
      </c>
      <c r="Y35" s="36">
        <v>193.08234400000001</v>
      </c>
      <c r="Z35" s="36">
        <v>0.92481203000000001</v>
      </c>
      <c r="AA35" s="36">
        <v>0.82071713000000002</v>
      </c>
      <c r="AB35" s="36">
        <v>0.55555555999999995</v>
      </c>
      <c r="AC35" s="36">
        <v>0.5</v>
      </c>
      <c r="AD35" s="36">
        <v>0.88</v>
      </c>
      <c r="AE35" s="36">
        <v>0.81176470999999994</v>
      </c>
      <c r="AF35" s="36">
        <v>0.91988130999999995</v>
      </c>
      <c r="AG35" s="36">
        <v>0.45833332999999998</v>
      </c>
      <c r="AH35" s="36">
        <v>0.74210525999999999</v>
      </c>
      <c r="AI35" s="36">
        <v>389</v>
      </c>
      <c r="AJ35" s="36">
        <v>705</v>
      </c>
      <c r="AK35" s="36">
        <v>1.8123393299999999</v>
      </c>
      <c r="AL35" s="36">
        <v>0.66</v>
      </c>
      <c r="AM35" s="36">
        <v>0.13</v>
      </c>
      <c r="AN35" s="36">
        <v>189.74148199999999</v>
      </c>
      <c r="AO35" s="36">
        <v>0.85271317999999996</v>
      </c>
      <c r="AP35" s="36">
        <v>0.96153845999999998</v>
      </c>
      <c r="AQ35" s="36">
        <v>0.45</v>
      </c>
      <c r="AR35" s="36">
        <v>0.46428571000000002</v>
      </c>
      <c r="AS35" s="36">
        <v>0.7</v>
      </c>
      <c r="AT35" s="36">
        <v>0.73333333000000001</v>
      </c>
      <c r="AU35" s="36">
        <v>187</v>
      </c>
      <c r="AV35" s="36">
        <v>187</v>
      </c>
      <c r="AW35" s="36">
        <v>61</v>
      </c>
      <c r="AX35" s="36">
        <v>248</v>
      </c>
      <c r="AY35" s="36">
        <v>75.403225809999995</v>
      </c>
      <c r="AZ35" s="36">
        <v>1.326203209</v>
      </c>
      <c r="BA35" s="36">
        <v>0.72</v>
      </c>
      <c r="BB35" s="36">
        <v>22</v>
      </c>
      <c r="BC35" s="36">
        <v>0.13</v>
      </c>
      <c r="BD35" s="36">
        <v>70.053475939999998</v>
      </c>
      <c r="BE35" s="36">
        <v>29.946524060000002</v>
      </c>
      <c r="BF35" s="36">
        <v>25</v>
      </c>
      <c r="BG35" s="36">
        <v>5.24</v>
      </c>
      <c r="BH35" s="36">
        <v>77.88</v>
      </c>
      <c r="BI35" s="36">
        <v>1.068642468</v>
      </c>
      <c r="BJ35" s="36">
        <v>189.81203009999999</v>
      </c>
      <c r="BK35" s="36">
        <v>6</v>
      </c>
      <c r="BL35" s="36">
        <v>16.007877270000002</v>
      </c>
      <c r="BM35" s="36">
        <v>69.841269839999995</v>
      </c>
      <c r="BN35" s="36">
        <v>30.158730160000001</v>
      </c>
      <c r="BO35" s="36">
        <v>63</v>
      </c>
      <c r="BP35" s="36">
        <v>9</v>
      </c>
      <c r="BQ35" s="36">
        <v>4.8888888890000004</v>
      </c>
      <c r="BR35" s="36">
        <v>81.222222220000006</v>
      </c>
      <c r="BS35" s="36">
        <v>0.38471128840000002</v>
      </c>
      <c r="BT35" s="36">
        <v>66.315789499999994</v>
      </c>
      <c r="BU35" s="36">
        <v>70.161290320000006</v>
      </c>
      <c r="BV35" s="36">
        <v>29.838709680000001</v>
      </c>
      <c r="BW35" s="36">
        <v>124</v>
      </c>
      <c r="BX35" s="36">
        <v>16</v>
      </c>
      <c r="BY35" s="36">
        <v>5.4375</v>
      </c>
      <c r="BZ35" s="36">
        <v>76</v>
      </c>
      <c r="CA35" s="36">
        <v>1.5412608370000001</v>
      </c>
      <c r="CB35" s="36">
        <v>81.045751629999998</v>
      </c>
      <c r="CC35" s="36">
        <v>7795</v>
      </c>
      <c r="CD35" s="36">
        <v>1160</v>
      </c>
      <c r="CE35" s="36">
        <v>8955</v>
      </c>
      <c r="CF35" s="36">
        <v>87.046342800000005</v>
      </c>
      <c r="CG35" s="36">
        <v>38.433476390000003</v>
      </c>
      <c r="CH35" s="36">
        <v>49</v>
      </c>
      <c r="CI35" s="36">
        <v>3</v>
      </c>
      <c r="CJ35" s="37">
        <v>122.1753564</v>
      </c>
      <c r="CK35" s="37"/>
      <c r="CL35" s="24"/>
      <c r="CM35" s="24"/>
      <c r="CN35" s="24"/>
      <c r="CO35" s="24"/>
      <c r="CP35" s="35">
        <v>-0.39043</v>
      </c>
      <c r="CQ35" s="35">
        <v>0.56355299999999997</v>
      </c>
      <c r="CR35" s="35">
        <v>7.4124610000000004</v>
      </c>
      <c r="CS35" s="35">
        <v>0.29846299999999998</v>
      </c>
      <c r="CT35" s="35">
        <v>-0.18462000000000001</v>
      </c>
      <c r="CU35" s="35">
        <v>-0.59126000000000001</v>
      </c>
      <c r="CV35" s="35">
        <v>5.6312000000000001E-2</v>
      </c>
    </row>
    <row r="36" spans="1:100" ht="15.75" x14ac:dyDescent="0.25">
      <c r="A36" s="24">
        <v>35</v>
      </c>
      <c r="B36" s="24" t="s">
        <v>220</v>
      </c>
      <c r="C36" s="24" t="s">
        <v>51</v>
      </c>
      <c r="D36" s="32">
        <v>23.6</v>
      </c>
      <c r="E36" s="32">
        <v>1.6</v>
      </c>
      <c r="F36" s="24"/>
      <c r="G36" s="35">
        <v>5.14</v>
      </c>
      <c r="H36" s="32">
        <v>0.04</v>
      </c>
      <c r="I36" s="24"/>
      <c r="J36" s="35">
        <v>19.010000000000002</v>
      </c>
      <c r="K36" s="24"/>
      <c r="L36" s="24"/>
      <c r="M36" s="24"/>
      <c r="N36" s="24"/>
      <c r="O36" s="24"/>
      <c r="P36" s="24"/>
      <c r="Q36" s="36">
        <v>0.89414413999999998</v>
      </c>
      <c r="R36" s="36">
        <v>0.43589744000000002</v>
      </c>
      <c r="S36" s="36">
        <v>0.84230769000000005</v>
      </c>
      <c r="T36" s="36">
        <v>540</v>
      </c>
      <c r="U36" s="36">
        <v>787</v>
      </c>
      <c r="V36" s="36">
        <v>1.4574074100000001</v>
      </c>
      <c r="W36" s="36">
        <v>0.72</v>
      </c>
      <c r="X36" s="36">
        <v>0.12</v>
      </c>
      <c r="Y36" s="36">
        <v>183.72771599999999</v>
      </c>
      <c r="Z36" s="36">
        <v>0.93571428999999995</v>
      </c>
      <c r="AA36" s="36">
        <v>0.875</v>
      </c>
      <c r="AB36" s="36">
        <v>0.66666667000000002</v>
      </c>
      <c r="AC36" s="36">
        <v>0.36666666999999997</v>
      </c>
      <c r="AD36" s="36">
        <v>0.875</v>
      </c>
      <c r="AE36" s="36">
        <v>0.81666667000000004</v>
      </c>
      <c r="AF36" s="36">
        <v>0.94178081999999996</v>
      </c>
      <c r="AG36" s="36">
        <v>0.48484848000000003</v>
      </c>
      <c r="AH36" s="36">
        <v>0.77777777999999997</v>
      </c>
      <c r="AI36" s="36">
        <v>370</v>
      </c>
      <c r="AJ36" s="36">
        <v>581</v>
      </c>
      <c r="AK36" s="36">
        <v>1.57027027</v>
      </c>
      <c r="AL36" s="36">
        <v>0.66</v>
      </c>
      <c r="AM36" s="36">
        <v>0.13</v>
      </c>
      <c r="AN36" s="36">
        <v>180.63466199999999</v>
      </c>
      <c r="AO36" s="36">
        <v>0.87640448999999998</v>
      </c>
      <c r="AP36" s="36">
        <v>0.97044335000000004</v>
      </c>
      <c r="AQ36" s="36">
        <v>0.45454545000000002</v>
      </c>
      <c r="AR36" s="36">
        <v>0.5</v>
      </c>
      <c r="AS36" s="36">
        <v>0.78333333000000005</v>
      </c>
      <c r="AT36" s="36">
        <v>0.71428570999999996</v>
      </c>
      <c r="AU36" s="36">
        <v>185</v>
      </c>
      <c r="AV36" s="36">
        <v>185</v>
      </c>
      <c r="AW36" s="36">
        <v>33</v>
      </c>
      <c r="AX36" s="36">
        <v>218</v>
      </c>
      <c r="AY36" s="36">
        <v>84.862385320000001</v>
      </c>
      <c r="AZ36" s="36">
        <v>1.1783783779999999</v>
      </c>
      <c r="BA36" s="36">
        <v>0.66</v>
      </c>
      <c r="BB36" s="36">
        <v>18.5</v>
      </c>
      <c r="BC36" s="36">
        <v>0.14000000000000001</v>
      </c>
      <c r="BD36" s="36">
        <v>76.216216220000007</v>
      </c>
      <c r="BE36" s="36">
        <v>23.78378378</v>
      </c>
      <c r="BF36" s="36">
        <v>22</v>
      </c>
      <c r="BG36" s="36">
        <v>6.4090909089999997</v>
      </c>
      <c r="BH36" s="36">
        <v>89.727272729999996</v>
      </c>
      <c r="BI36" s="36">
        <v>0.92742218789999997</v>
      </c>
      <c r="BJ36" s="36">
        <v>186.99986000000001</v>
      </c>
      <c r="BK36" s="36">
        <v>3</v>
      </c>
      <c r="BL36" s="36">
        <v>15.29132102</v>
      </c>
      <c r="BM36" s="36">
        <v>84.848484850000006</v>
      </c>
      <c r="BN36" s="36">
        <v>15.15151515</v>
      </c>
      <c r="BO36" s="36">
        <v>66</v>
      </c>
      <c r="BP36" s="36">
        <v>8</v>
      </c>
      <c r="BQ36" s="36">
        <v>7</v>
      </c>
      <c r="BR36" s="36">
        <v>104.875</v>
      </c>
      <c r="BS36" s="36">
        <v>0.33724443199999998</v>
      </c>
      <c r="BT36" s="36">
        <v>85.714285709999999</v>
      </c>
      <c r="BU36" s="36">
        <v>71.428571430000005</v>
      </c>
      <c r="BV36" s="36">
        <v>28.571428569999998</v>
      </c>
      <c r="BW36" s="36">
        <v>119</v>
      </c>
      <c r="BX36" s="36">
        <v>14</v>
      </c>
      <c r="BY36" s="36">
        <v>6.0714285710000002</v>
      </c>
      <c r="BZ36" s="36">
        <v>81.071428569999995</v>
      </c>
      <c r="CA36" s="36">
        <v>1.232816398</v>
      </c>
      <c r="CB36" s="36">
        <v>84.397163120000002</v>
      </c>
      <c r="CC36" s="36">
        <v>3310</v>
      </c>
      <c r="CD36" s="36">
        <v>528</v>
      </c>
      <c r="CE36" s="36">
        <v>3838</v>
      </c>
      <c r="CF36" s="36">
        <v>86.242834810000005</v>
      </c>
      <c r="CG36" s="36">
        <v>14.81853282</v>
      </c>
      <c r="CH36" s="36">
        <v>10</v>
      </c>
      <c r="CI36" s="36">
        <v>17</v>
      </c>
      <c r="CJ36" s="36">
        <v>136.12341230000001</v>
      </c>
      <c r="CK36" s="36">
        <v>19.811923620000002</v>
      </c>
      <c r="CL36" s="36">
        <v>9.8074435060000003</v>
      </c>
      <c r="CM36" s="36">
        <v>1.8971408839999999</v>
      </c>
      <c r="CN36" s="36">
        <v>11.01903162</v>
      </c>
      <c r="CO36" s="36">
        <v>2.0824349299999998</v>
      </c>
      <c r="CP36" s="35">
        <v>-0.34172999999999998</v>
      </c>
      <c r="CQ36" s="35">
        <v>0.77977700000000005</v>
      </c>
      <c r="CR36" s="35">
        <v>4.7018240000000002</v>
      </c>
      <c r="CS36" s="35">
        <v>0.36837900000000001</v>
      </c>
      <c r="CT36" s="35">
        <v>6.4929999999999996E-3</v>
      </c>
      <c r="CU36" s="35">
        <v>-0.69379000000000002</v>
      </c>
      <c r="CV36" s="35">
        <v>6.3432000000000002E-2</v>
      </c>
    </row>
    <row r="37" spans="1:100" ht="15.75" x14ac:dyDescent="0.25">
      <c r="A37" s="24">
        <v>36</v>
      </c>
      <c r="B37" s="24" t="s">
        <v>221</v>
      </c>
      <c r="C37" s="24" t="s">
        <v>51</v>
      </c>
      <c r="D37" s="32">
        <v>25</v>
      </c>
      <c r="E37" s="32">
        <v>1.55</v>
      </c>
      <c r="F37" s="24"/>
      <c r="G37" s="35">
        <v>4.6500000000000004</v>
      </c>
      <c r="H37" s="32">
        <v>0.22</v>
      </c>
      <c r="I37" s="24"/>
      <c r="J37" s="35">
        <v>12.51</v>
      </c>
      <c r="K37" s="24"/>
      <c r="L37" s="24"/>
      <c r="M37" s="24"/>
      <c r="N37" s="24"/>
      <c r="O37" s="24"/>
      <c r="P37" s="24"/>
      <c r="Q37" s="36">
        <v>0.85660376999999999</v>
      </c>
      <c r="R37" s="36">
        <v>0.53448275999999995</v>
      </c>
      <c r="S37" s="36">
        <v>0.79677419000000005</v>
      </c>
      <c r="T37" s="36">
        <v>629</v>
      </c>
      <c r="U37" s="36">
        <v>961</v>
      </c>
      <c r="V37" s="36">
        <v>1.5278219399999999</v>
      </c>
      <c r="W37" s="36">
        <v>0.72</v>
      </c>
      <c r="X37" s="36">
        <v>0.15</v>
      </c>
      <c r="Y37" s="36">
        <v>209.47630899999999</v>
      </c>
      <c r="Z37" s="36">
        <v>0.84795321999999995</v>
      </c>
      <c r="AA37" s="36">
        <v>0.86072422999999998</v>
      </c>
      <c r="AB37" s="36">
        <v>0.66666667000000002</v>
      </c>
      <c r="AC37" s="36">
        <v>0.5</v>
      </c>
      <c r="AD37" s="36">
        <v>0.84166666999999995</v>
      </c>
      <c r="AE37" s="36">
        <v>0.76190475999999996</v>
      </c>
      <c r="AF37" s="36">
        <v>0.87005650000000001</v>
      </c>
      <c r="AG37" s="36">
        <v>0.49152541999999999</v>
      </c>
      <c r="AH37" s="36">
        <v>0.75</v>
      </c>
      <c r="AI37" s="36">
        <v>417</v>
      </c>
      <c r="AJ37" s="36">
        <v>707</v>
      </c>
      <c r="AK37" s="36">
        <v>1.6954436500000001</v>
      </c>
      <c r="AL37" s="36">
        <v>0.66</v>
      </c>
      <c r="AM37" s="36">
        <v>0.14000000000000001</v>
      </c>
      <c r="AN37" s="36">
        <v>207.18117000000001</v>
      </c>
      <c r="AO37" s="36">
        <v>0.85087718999999995</v>
      </c>
      <c r="AP37" s="36">
        <v>0.88235293999999997</v>
      </c>
      <c r="AQ37" s="36">
        <v>0.5</v>
      </c>
      <c r="AR37" s="36">
        <v>0.48484848000000003</v>
      </c>
      <c r="AS37" s="36">
        <v>0.65</v>
      </c>
      <c r="AT37" s="36">
        <v>0.78571429000000004</v>
      </c>
      <c r="AU37" s="36">
        <v>224</v>
      </c>
      <c r="AV37" s="36">
        <v>224</v>
      </c>
      <c r="AW37" s="36">
        <v>107</v>
      </c>
      <c r="AX37" s="36">
        <v>331</v>
      </c>
      <c r="AY37" s="36">
        <v>67.673715999999999</v>
      </c>
      <c r="AZ37" s="36">
        <v>1.477678571</v>
      </c>
      <c r="BA37" s="36">
        <v>0.66</v>
      </c>
      <c r="BB37" s="36">
        <v>23</v>
      </c>
      <c r="BC37" s="36">
        <v>0.12</v>
      </c>
      <c r="BD37" s="36">
        <v>82.589285709999999</v>
      </c>
      <c r="BE37" s="36">
        <v>17.410714290000001</v>
      </c>
      <c r="BF37" s="36">
        <v>29</v>
      </c>
      <c r="BG37" s="36">
        <v>6.3793103450000004</v>
      </c>
      <c r="BH37" s="36">
        <v>115.6206897</v>
      </c>
      <c r="BI37" s="36">
        <v>1.2295226770000001</v>
      </c>
      <c r="BJ37" s="36">
        <v>226.33671699999999</v>
      </c>
      <c r="BK37" s="36">
        <v>56</v>
      </c>
      <c r="BL37" s="36">
        <v>19.10847188</v>
      </c>
      <c r="BM37" s="36">
        <v>79.41176471</v>
      </c>
      <c r="BN37" s="36">
        <v>20.58823529</v>
      </c>
      <c r="BO37" s="36">
        <v>68</v>
      </c>
      <c r="BP37" s="36">
        <v>10</v>
      </c>
      <c r="BQ37" s="36">
        <v>5.4</v>
      </c>
      <c r="BR37" s="36">
        <v>102.9</v>
      </c>
      <c r="BS37" s="36">
        <v>0.42397333679999999</v>
      </c>
      <c r="BT37" s="36">
        <v>53.543307089999999</v>
      </c>
      <c r="BU37" s="36">
        <v>83.974358969999997</v>
      </c>
      <c r="BV37" s="36">
        <v>16.025641029999999</v>
      </c>
      <c r="BW37" s="36">
        <v>156</v>
      </c>
      <c r="BX37" s="36">
        <v>19</v>
      </c>
      <c r="BY37" s="36">
        <v>6.8947368420000004</v>
      </c>
      <c r="BZ37" s="36">
        <v>122.31578949999999</v>
      </c>
      <c r="CA37" s="36">
        <v>1.6148452440000001</v>
      </c>
      <c r="CB37" s="36">
        <v>76.470588239999998</v>
      </c>
      <c r="CC37" s="36">
        <v>4527</v>
      </c>
      <c r="CD37" s="36">
        <v>724</v>
      </c>
      <c r="CE37" s="36">
        <v>5251</v>
      </c>
      <c r="CF37" s="36">
        <v>86.212150070000007</v>
      </c>
      <c r="CG37" s="36">
        <v>17.561872910000002</v>
      </c>
      <c r="CH37" s="36">
        <v>10</v>
      </c>
      <c r="CI37" s="36">
        <v>19</v>
      </c>
      <c r="CJ37" s="36">
        <v>158.5924503</v>
      </c>
      <c r="CK37" s="36">
        <v>21.981647939999998</v>
      </c>
      <c r="CL37" s="36">
        <v>9.2911261239999998</v>
      </c>
      <c r="CM37" s="36">
        <v>1.7629998419999999</v>
      </c>
      <c r="CN37" s="36">
        <v>10.533489039999999</v>
      </c>
      <c r="CO37" s="36">
        <v>1.920621511</v>
      </c>
      <c r="CP37" s="35">
        <v>-0.44675999999999999</v>
      </c>
      <c r="CQ37" s="35">
        <v>0.52793699999999999</v>
      </c>
      <c r="CR37" s="35">
        <v>4.7782920000000004</v>
      </c>
      <c r="CS37" s="35">
        <v>0.32466899999999999</v>
      </c>
      <c r="CT37" s="35">
        <v>-0.24668999999999999</v>
      </c>
      <c r="CU37" s="35">
        <v>-0.64759999999999995</v>
      </c>
      <c r="CV37" s="35">
        <v>4.6681E-2</v>
      </c>
    </row>
    <row r="38" spans="1:100" ht="15.75" x14ac:dyDescent="0.25">
      <c r="A38" s="24">
        <v>37</v>
      </c>
      <c r="B38" s="24" t="s">
        <v>222</v>
      </c>
      <c r="C38" s="24" t="s">
        <v>51</v>
      </c>
      <c r="D38" s="32">
        <v>22.9</v>
      </c>
      <c r="E38" s="32">
        <v>1.82</v>
      </c>
      <c r="F38" s="24"/>
      <c r="G38" s="35">
        <v>4.5599999999999996</v>
      </c>
      <c r="H38" s="32">
        <v>0.3</v>
      </c>
      <c r="I38" s="24"/>
      <c r="J38" s="35">
        <v>16.16</v>
      </c>
      <c r="K38" s="24"/>
      <c r="L38" s="24"/>
      <c r="M38" s="24"/>
      <c r="N38" s="24"/>
      <c r="O38" s="24"/>
      <c r="P38" s="24"/>
      <c r="Q38" s="36">
        <v>0.67142857</v>
      </c>
      <c r="R38" s="36">
        <v>0.5</v>
      </c>
      <c r="S38" s="36">
        <v>0.70769230999999999</v>
      </c>
      <c r="T38" s="36">
        <v>280</v>
      </c>
      <c r="U38" s="36">
        <v>488</v>
      </c>
      <c r="V38" s="36">
        <v>1.7428571399999999</v>
      </c>
      <c r="W38" s="36">
        <v>1.29</v>
      </c>
      <c r="X38" s="36">
        <v>0.17</v>
      </c>
      <c r="Y38" s="36">
        <v>93.617943400000001</v>
      </c>
      <c r="Z38" s="36">
        <v>0.69491524999999998</v>
      </c>
      <c r="AA38" s="36">
        <v>0.66225166000000002</v>
      </c>
      <c r="AB38" s="36">
        <v>0.46153845999999998</v>
      </c>
      <c r="AC38" s="36">
        <v>0.5</v>
      </c>
      <c r="AD38" s="36">
        <v>0.7</v>
      </c>
      <c r="AE38" s="36">
        <v>0.66</v>
      </c>
      <c r="AF38" s="36">
        <v>0.87676056000000002</v>
      </c>
      <c r="AG38" s="36">
        <v>0.50909090999999995</v>
      </c>
      <c r="AH38" s="36">
        <v>0.71764706</v>
      </c>
      <c r="AI38" s="36">
        <v>355</v>
      </c>
      <c r="AJ38" s="36">
        <v>651</v>
      </c>
      <c r="AK38" s="36">
        <v>1.8338028200000001</v>
      </c>
      <c r="AL38" s="36">
        <v>0.66</v>
      </c>
      <c r="AM38" s="36">
        <v>0.17</v>
      </c>
      <c r="AN38" s="36">
        <v>174.96064100000001</v>
      </c>
      <c r="AO38" s="36">
        <v>0.87022900999999997</v>
      </c>
      <c r="AP38" s="36">
        <v>0.88157894999999997</v>
      </c>
      <c r="AQ38" s="36">
        <v>0.65217391000000002</v>
      </c>
      <c r="AR38" s="36">
        <v>0.40625</v>
      </c>
      <c r="AS38" s="36">
        <v>0.67142857</v>
      </c>
      <c r="AT38" s="36">
        <v>0.77</v>
      </c>
      <c r="AU38" s="36">
        <v>184</v>
      </c>
      <c r="AV38" s="36">
        <v>185</v>
      </c>
      <c r="AW38" s="36">
        <v>25</v>
      </c>
      <c r="AX38" s="36">
        <v>210</v>
      </c>
      <c r="AY38" s="36">
        <v>88.095238100000003</v>
      </c>
      <c r="AZ38" s="36">
        <v>1.141304348</v>
      </c>
      <c r="BA38" s="36">
        <v>0.72</v>
      </c>
      <c r="BB38" s="36">
        <v>25</v>
      </c>
      <c r="BC38" s="36">
        <v>0.18</v>
      </c>
      <c r="BD38" s="36">
        <v>79.347826089999998</v>
      </c>
      <c r="BE38" s="36">
        <v>20.652173909999998</v>
      </c>
      <c r="BF38" s="36">
        <v>25</v>
      </c>
      <c r="BG38" s="36">
        <v>5.84</v>
      </c>
      <c r="BH38" s="36">
        <v>105.04</v>
      </c>
      <c r="BI38" s="36">
        <v>1.050285328</v>
      </c>
      <c r="BJ38" s="36">
        <v>185.46179960000001</v>
      </c>
      <c r="BK38" s="36">
        <v>9</v>
      </c>
      <c r="BL38" s="36">
        <v>19.953872910000001</v>
      </c>
      <c r="BM38" s="36">
        <v>75</v>
      </c>
      <c r="BN38" s="36">
        <v>25</v>
      </c>
      <c r="BO38" s="36">
        <v>52</v>
      </c>
      <c r="BP38" s="36">
        <v>8</v>
      </c>
      <c r="BQ38" s="36">
        <v>4.875</v>
      </c>
      <c r="BR38" s="36">
        <v>91.125</v>
      </c>
      <c r="BS38" s="36">
        <v>0.33609130479999999</v>
      </c>
      <c r="BT38" s="36">
        <v>84.126984129999997</v>
      </c>
      <c r="BU38" s="36">
        <v>81.060606059999998</v>
      </c>
      <c r="BV38" s="36">
        <v>18.939393939999999</v>
      </c>
      <c r="BW38" s="36">
        <v>132</v>
      </c>
      <c r="BX38" s="36">
        <v>17</v>
      </c>
      <c r="BY38" s="36">
        <v>6.2941176470000002</v>
      </c>
      <c r="BZ38" s="36">
        <v>111.58823529999999</v>
      </c>
      <c r="CA38" s="36">
        <v>1.4284713959999999</v>
      </c>
      <c r="CB38" s="36">
        <v>89.795918369999995</v>
      </c>
      <c r="CC38" s="36">
        <v>8012</v>
      </c>
      <c r="CD38" s="36">
        <v>714</v>
      </c>
      <c r="CE38" s="36">
        <v>8726</v>
      </c>
      <c r="CF38" s="36">
        <v>91.817556730000007</v>
      </c>
      <c r="CG38" s="36">
        <v>39.844748860000003</v>
      </c>
      <c r="CH38" s="36">
        <v>14</v>
      </c>
      <c r="CI38" s="36">
        <v>5</v>
      </c>
      <c r="CJ38" s="37">
        <v>114.6221786</v>
      </c>
      <c r="CK38" s="37"/>
      <c r="CL38" s="24"/>
      <c r="CM38" s="24"/>
      <c r="CN38" s="24"/>
      <c r="CO38" s="24"/>
      <c r="CP38" s="35">
        <v>6.0442000000000003E-2</v>
      </c>
      <c r="CQ38" s="35">
        <v>0.86313300000000004</v>
      </c>
      <c r="CR38" s="35">
        <v>5.8638269999999997</v>
      </c>
      <c r="CS38" s="35">
        <v>0.31023499999999998</v>
      </c>
      <c r="CT38" s="35">
        <v>0.478128</v>
      </c>
      <c r="CU38" s="35">
        <v>-0.35626999999999998</v>
      </c>
      <c r="CV38" s="35">
        <v>0.127049</v>
      </c>
    </row>
    <row r="39" spans="1:100" ht="15.75" x14ac:dyDescent="0.25">
      <c r="A39" s="24">
        <v>38</v>
      </c>
      <c r="B39" s="24" t="s">
        <v>223</v>
      </c>
      <c r="C39" s="24" t="s">
        <v>51</v>
      </c>
      <c r="D39" s="32">
        <v>22.7</v>
      </c>
      <c r="E39" s="32">
        <v>1.48</v>
      </c>
      <c r="F39" s="24"/>
      <c r="G39" s="35">
        <v>4.5199999999999996</v>
      </c>
      <c r="H39" s="32">
        <v>0.45</v>
      </c>
      <c r="I39" s="24"/>
      <c r="J39" s="35">
        <v>16.66</v>
      </c>
      <c r="K39" s="24"/>
      <c r="L39" s="24"/>
      <c r="M39" s="24"/>
      <c r="N39" s="24"/>
      <c r="O39" s="24"/>
      <c r="P39" s="24"/>
      <c r="Q39" s="36">
        <v>0.81030444999999995</v>
      </c>
      <c r="R39" s="36">
        <v>0.53125</v>
      </c>
      <c r="S39" s="36">
        <v>0.71481481000000002</v>
      </c>
      <c r="T39" s="36">
        <v>564</v>
      </c>
      <c r="U39" s="36">
        <v>866</v>
      </c>
      <c r="V39" s="36">
        <v>1.53546099</v>
      </c>
      <c r="W39" s="36">
        <v>0.91</v>
      </c>
      <c r="X39" s="36">
        <v>0.09</v>
      </c>
      <c r="Y39" s="36">
        <v>189.025406</v>
      </c>
      <c r="Z39" s="36">
        <v>0.79141103999999995</v>
      </c>
      <c r="AA39" s="36">
        <v>0.82061068999999998</v>
      </c>
      <c r="AB39" s="36">
        <v>0.48</v>
      </c>
      <c r="AC39" s="36">
        <v>0.56410256000000003</v>
      </c>
      <c r="AD39" s="36">
        <v>0.74444443999999999</v>
      </c>
      <c r="AE39" s="36">
        <v>0.6875</v>
      </c>
      <c r="AF39" s="36">
        <v>0.92857142999999998</v>
      </c>
      <c r="AG39" s="36">
        <v>0.51162790999999996</v>
      </c>
      <c r="AH39" s="36">
        <v>0.77647058999999996</v>
      </c>
      <c r="AI39" s="36">
        <v>354</v>
      </c>
      <c r="AJ39" s="36">
        <v>623</v>
      </c>
      <c r="AK39" s="36">
        <v>1.7598870099999999</v>
      </c>
      <c r="AL39" s="36">
        <v>0.66</v>
      </c>
      <c r="AM39" s="36">
        <v>0.08</v>
      </c>
      <c r="AN39" s="36">
        <v>173.64622</v>
      </c>
      <c r="AO39" s="36">
        <v>0.90625</v>
      </c>
      <c r="AP39" s="36">
        <v>0.94021739000000004</v>
      </c>
      <c r="AQ39" s="36">
        <v>0.55555555999999995</v>
      </c>
      <c r="AR39" s="36">
        <v>0.5</v>
      </c>
      <c r="AS39" s="36">
        <v>0.64285714000000005</v>
      </c>
      <c r="AT39" s="36">
        <v>0.81818181999999995</v>
      </c>
      <c r="AU39" s="36">
        <v>186</v>
      </c>
      <c r="AV39" s="36">
        <v>186</v>
      </c>
      <c r="AW39" s="36">
        <v>84</v>
      </c>
      <c r="AX39" s="36">
        <v>270</v>
      </c>
      <c r="AY39" s="36">
        <v>68.888888890000004</v>
      </c>
      <c r="AZ39" s="36">
        <v>1.451612903</v>
      </c>
      <c r="BA39" s="36">
        <v>0.79</v>
      </c>
      <c r="BB39" s="36">
        <v>25</v>
      </c>
      <c r="BC39" s="36">
        <v>0.08</v>
      </c>
      <c r="BD39" s="36">
        <v>66.129032260000002</v>
      </c>
      <c r="BE39" s="36">
        <v>33.870967739999998</v>
      </c>
      <c r="BF39" s="36">
        <v>26</v>
      </c>
      <c r="BG39" s="36">
        <v>4.730769231</v>
      </c>
      <c r="BH39" s="36">
        <v>81.730769230000007</v>
      </c>
      <c r="BI39" s="36">
        <v>1.09915919</v>
      </c>
      <c r="BJ39" s="36">
        <v>187.93151839999999</v>
      </c>
      <c r="BK39" s="36">
        <v>10</v>
      </c>
      <c r="BL39" s="36">
        <v>18.93890339</v>
      </c>
      <c r="BM39" s="36">
        <v>65.517241380000002</v>
      </c>
      <c r="BN39" s="36">
        <v>34.482758619999998</v>
      </c>
      <c r="BO39" s="36">
        <v>58</v>
      </c>
      <c r="BP39" s="36">
        <v>7</v>
      </c>
      <c r="BQ39" s="36">
        <v>5.4285714289999998</v>
      </c>
      <c r="BR39" s="36">
        <v>91.714285709999999</v>
      </c>
      <c r="BS39" s="36">
        <v>0.29592747429999999</v>
      </c>
      <c r="BT39" s="36">
        <v>75.324675319999997</v>
      </c>
      <c r="BU39" s="36">
        <v>66.40625</v>
      </c>
      <c r="BV39" s="36">
        <v>33.59375</v>
      </c>
      <c r="BW39" s="36">
        <v>128</v>
      </c>
      <c r="BX39" s="36">
        <v>19</v>
      </c>
      <c r="BY39" s="36">
        <v>4.4736842110000001</v>
      </c>
      <c r="BZ39" s="36">
        <v>78.052631579999996</v>
      </c>
      <c r="CA39" s="36">
        <v>1.875822729</v>
      </c>
      <c r="CB39" s="36">
        <v>66.321243519999996</v>
      </c>
      <c r="CC39" s="36">
        <v>2334</v>
      </c>
      <c r="CD39" s="36">
        <v>658</v>
      </c>
      <c r="CE39" s="36">
        <v>2992</v>
      </c>
      <c r="CF39" s="36">
        <v>78.008021389999996</v>
      </c>
      <c r="CG39" s="36">
        <v>12.518828450000001</v>
      </c>
      <c r="CH39" s="36">
        <v>5.5</v>
      </c>
      <c r="CI39" s="36">
        <v>24</v>
      </c>
      <c r="CJ39" s="36">
        <v>126.00439350000001</v>
      </c>
      <c r="CK39" s="36">
        <v>26.273624569999999</v>
      </c>
      <c r="CL39" s="36">
        <v>6.4405547849999998</v>
      </c>
      <c r="CM39" s="36">
        <v>1.7277840339999999</v>
      </c>
      <c r="CN39" s="36">
        <v>6.9183540499999996</v>
      </c>
      <c r="CO39" s="36">
        <v>1.8127292820000001</v>
      </c>
      <c r="CP39" s="35">
        <v>-6.164E-2</v>
      </c>
      <c r="CQ39" s="35">
        <v>0.90087300000000003</v>
      </c>
      <c r="CR39" s="35">
        <v>5.3197950000000001</v>
      </c>
      <c r="CS39" s="35">
        <v>0.35526600000000003</v>
      </c>
      <c r="CT39" s="35">
        <v>0.32368000000000002</v>
      </c>
      <c r="CU39" s="35">
        <v>-0.45507999999999998</v>
      </c>
      <c r="CV39" s="35">
        <v>0.106961</v>
      </c>
    </row>
    <row r="40" spans="1:100" ht="15.75" x14ac:dyDescent="0.25">
      <c r="A40" s="24">
        <v>39</v>
      </c>
      <c r="B40" s="24" t="s">
        <v>224</v>
      </c>
      <c r="C40" s="24" t="s">
        <v>51</v>
      </c>
      <c r="D40" s="32">
        <v>23.3</v>
      </c>
      <c r="E40" s="32">
        <v>1.25</v>
      </c>
      <c r="F40" s="24"/>
      <c r="G40" s="35">
        <v>4.51</v>
      </c>
      <c r="H40" s="32">
        <v>0.5</v>
      </c>
      <c r="I40" s="24"/>
      <c r="J40" s="35">
        <v>12.59</v>
      </c>
      <c r="K40" s="24"/>
      <c r="L40" s="24"/>
      <c r="M40" s="24"/>
      <c r="N40" s="24"/>
      <c r="O40" s="24"/>
      <c r="P40" s="24"/>
      <c r="Q40" s="36">
        <v>0.84210525999999997</v>
      </c>
      <c r="R40" s="36">
        <v>0.47826087</v>
      </c>
      <c r="S40" s="36">
        <v>0.80434782999999999</v>
      </c>
      <c r="T40" s="36">
        <v>482</v>
      </c>
      <c r="U40" s="36">
        <v>681</v>
      </c>
      <c r="V40" s="36">
        <v>1.41286307</v>
      </c>
      <c r="W40" s="36">
        <v>1.29</v>
      </c>
      <c r="X40" s="36">
        <v>0.16</v>
      </c>
      <c r="Y40" s="36">
        <v>161.60248999999999</v>
      </c>
      <c r="Z40" s="36">
        <v>0.83486238999999995</v>
      </c>
      <c r="AA40" s="36">
        <v>0.84482758999999996</v>
      </c>
      <c r="AB40" s="36">
        <v>0.46153845999999998</v>
      </c>
      <c r="AC40" s="36">
        <v>0.46875</v>
      </c>
      <c r="AD40" s="36">
        <v>0.86666666999999997</v>
      </c>
      <c r="AE40" s="36">
        <v>0.76111110999999998</v>
      </c>
      <c r="AF40" s="36">
        <v>0.95564515999999999</v>
      </c>
      <c r="AG40" s="36">
        <v>0.37037037</v>
      </c>
      <c r="AH40" s="36">
        <v>0.69230769000000003</v>
      </c>
      <c r="AI40" s="36">
        <v>280</v>
      </c>
      <c r="AJ40" s="36">
        <v>451</v>
      </c>
      <c r="AK40" s="36">
        <v>1.61071429</v>
      </c>
      <c r="AL40" s="36">
        <v>0.66</v>
      </c>
      <c r="AM40" s="36">
        <v>0.15</v>
      </c>
      <c r="AN40" s="36">
        <v>136.02550500000001</v>
      </c>
      <c r="AO40" s="36">
        <v>0.92424242000000001</v>
      </c>
      <c r="AP40" s="36">
        <v>0.96703296999999999</v>
      </c>
      <c r="AQ40" s="36">
        <v>0</v>
      </c>
      <c r="AR40" s="36">
        <v>0.45454545000000002</v>
      </c>
      <c r="AS40" s="36">
        <v>0.76</v>
      </c>
      <c r="AT40" s="36">
        <v>0.68888888999999998</v>
      </c>
      <c r="AU40" s="36">
        <v>142</v>
      </c>
      <c r="AV40" s="36">
        <v>142</v>
      </c>
      <c r="AW40" s="36">
        <v>76</v>
      </c>
      <c r="AX40" s="36">
        <v>218</v>
      </c>
      <c r="AY40" s="36">
        <v>65.137614679999999</v>
      </c>
      <c r="AZ40" s="36">
        <v>1.5352112680000001</v>
      </c>
      <c r="BA40" s="36">
        <v>0.72</v>
      </c>
      <c r="BB40" s="36">
        <v>22</v>
      </c>
      <c r="BC40" s="36">
        <v>0.18</v>
      </c>
      <c r="BD40" s="36">
        <v>75.352112680000005</v>
      </c>
      <c r="BE40" s="36">
        <v>24.647887319999999</v>
      </c>
      <c r="BF40" s="36">
        <v>18</v>
      </c>
      <c r="BG40" s="36">
        <v>5.9444444440000002</v>
      </c>
      <c r="BH40" s="36">
        <v>105.6111111</v>
      </c>
      <c r="BI40" s="36">
        <v>0.79846222089999996</v>
      </c>
      <c r="BJ40" s="36">
        <v>151.07313049999999</v>
      </c>
      <c r="BK40" s="36">
        <v>4</v>
      </c>
      <c r="BL40" s="36">
        <v>19.596824359999999</v>
      </c>
      <c r="BM40" s="36">
        <v>72.222222220000006</v>
      </c>
      <c r="BN40" s="36">
        <v>27.777777780000001</v>
      </c>
      <c r="BO40" s="36">
        <v>36</v>
      </c>
      <c r="BP40" s="36">
        <v>4</v>
      </c>
      <c r="BQ40" s="36">
        <v>6.5</v>
      </c>
      <c r="BR40" s="36">
        <v>114.5</v>
      </c>
      <c r="BS40" s="36">
        <v>0.17743604909999999</v>
      </c>
      <c r="BT40" s="36">
        <v>58.064516130000001</v>
      </c>
      <c r="BU40" s="36">
        <v>76.415094339999996</v>
      </c>
      <c r="BV40" s="36">
        <v>23.58490566</v>
      </c>
      <c r="BW40" s="36">
        <v>106</v>
      </c>
      <c r="BX40" s="36">
        <v>14</v>
      </c>
      <c r="BY40" s="36">
        <v>5.7857142860000002</v>
      </c>
      <c r="BZ40" s="36">
        <v>103.0714286</v>
      </c>
      <c r="CA40" s="36">
        <v>1.3761843650000001</v>
      </c>
      <c r="CB40" s="36">
        <v>67.948717950000002</v>
      </c>
      <c r="CC40" s="36">
        <v>4733</v>
      </c>
      <c r="CD40" s="36">
        <v>654</v>
      </c>
      <c r="CE40" s="36">
        <v>5387</v>
      </c>
      <c r="CF40" s="36">
        <v>87.859662150000005</v>
      </c>
      <c r="CG40" s="36">
        <v>20.5610687</v>
      </c>
      <c r="CH40" s="36">
        <v>11</v>
      </c>
      <c r="CI40" s="36">
        <v>14</v>
      </c>
      <c r="CJ40" s="36">
        <v>137.12790319999999</v>
      </c>
      <c r="CK40" s="36">
        <v>16.05707439</v>
      </c>
      <c r="CL40" s="36">
        <v>10.41462018</v>
      </c>
      <c r="CM40" s="36">
        <v>1.4785650770000001</v>
      </c>
      <c r="CN40" s="36">
        <v>11.654200660000001</v>
      </c>
      <c r="CO40" s="36">
        <v>1.580312913</v>
      </c>
      <c r="CP40" s="35">
        <v>-0.46238000000000001</v>
      </c>
      <c r="CQ40" s="35">
        <v>0.51319999999999999</v>
      </c>
      <c r="CR40" s="35">
        <v>5.4475049999999996</v>
      </c>
      <c r="CS40" s="35">
        <v>0.56297600000000003</v>
      </c>
      <c r="CT40" s="35">
        <v>-0.26050000000000001</v>
      </c>
      <c r="CU40" s="35">
        <v>-0.66837000000000002</v>
      </c>
      <c r="CV40" s="35">
        <v>4.3817000000000002E-2</v>
      </c>
    </row>
    <row r="41" spans="1:100" ht="15.75" x14ac:dyDescent="0.25">
      <c r="A41" s="24">
        <v>40</v>
      </c>
      <c r="B41" s="24" t="s">
        <v>225</v>
      </c>
      <c r="C41" s="24" t="s">
        <v>51</v>
      </c>
      <c r="D41" s="32">
        <v>23.6</v>
      </c>
      <c r="E41" s="32">
        <v>0.89</v>
      </c>
      <c r="F41" s="24"/>
      <c r="G41" s="35">
        <v>4.3</v>
      </c>
      <c r="H41" s="32">
        <v>0.28999999999999998</v>
      </c>
      <c r="I41" s="24"/>
      <c r="J41" s="35">
        <v>15.6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36">
        <v>0.83544304000000003</v>
      </c>
      <c r="AG41" s="36">
        <v>0.40350877000000002</v>
      </c>
      <c r="AH41" s="36">
        <v>0.65333333000000005</v>
      </c>
      <c r="AI41" s="36">
        <v>313</v>
      </c>
      <c r="AJ41" s="36">
        <v>596</v>
      </c>
      <c r="AK41" s="36">
        <v>1.90415336</v>
      </c>
      <c r="AL41" s="36">
        <v>0.66</v>
      </c>
      <c r="AM41" s="36">
        <v>0.17</v>
      </c>
      <c r="AN41" s="36">
        <v>152.52017699999999</v>
      </c>
      <c r="AO41" s="36">
        <v>0.83505154999999998</v>
      </c>
      <c r="AP41" s="36">
        <v>0.83571428999999997</v>
      </c>
      <c r="AQ41" s="36">
        <v>0.31578947000000002</v>
      </c>
      <c r="AR41" s="36">
        <v>0.44736841999999999</v>
      </c>
      <c r="AS41" s="36">
        <v>0.67142857</v>
      </c>
      <c r="AT41" s="36">
        <v>0.66</v>
      </c>
      <c r="AU41" s="36">
        <v>215</v>
      </c>
      <c r="AV41" s="36">
        <v>215</v>
      </c>
      <c r="AW41" s="36">
        <v>34</v>
      </c>
      <c r="AX41" s="36">
        <v>249</v>
      </c>
      <c r="AY41" s="36">
        <v>86.345381529999997</v>
      </c>
      <c r="AZ41" s="36">
        <v>1.1581395350000001</v>
      </c>
      <c r="BA41" s="36">
        <v>0.72</v>
      </c>
      <c r="BB41" s="36">
        <v>24</v>
      </c>
      <c r="BC41" s="36">
        <v>0.17</v>
      </c>
      <c r="BD41" s="36">
        <v>93.953488370000002</v>
      </c>
      <c r="BE41" s="36">
        <v>6.0465116280000002</v>
      </c>
      <c r="BF41" s="36">
        <v>27</v>
      </c>
      <c r="BG41" s="36">
        <v>7.4814814810000003</v>
      </c>
      <c r="BH41" s="36">
        <v>150</v>
      </c>
      <c r="BI41" s="36">
        <v>1.145821054</v>
      </c>
      <c r="BJ41" s="36">
        <v>217.5048299</v>
      </c>
      <c r="BK41" s="36">
        <v>177</v>
      </c>
      <c r="BL41" s="36">
        <v>21.529937289999999</v>
      </c>
      <c r="BM41" s="36">
        <v>97.029702970000002</v>
      </c>
      <c r="BN41" s="36">
        <v>2.9702970299999998</v>
      </c>
      <c r="BO41" s="36">
        <v>101</v>
      </c>
      <c r="BP41" s="36">
        <v>14</v>
      </c>
      <c r="BQ41" s="36">
        <v>7</v>
      </c>
      <c r="BR41" s="36">
        <v>141.5</v>
      </c>
      <c r="BS41" s="36">
        <v>0.59412943529999995</v>
      </c>
      <c r="BT41" s="36">
        <v>84.7457627</v>
      </c>
      <c r="BU41" s="36">
        <v>91.228070200000005</v>
      </c>
      <c r="BV41" s="36">
        <v>8.7719298250000008</v>
      </c>
      <c r="BW41" s="36">
        <v>114</v>
      </c>
      <c r="BX41" s="36">
        <v>13</v>
      </c>
      <c r="BY41" s="36">
        <v>8</v>
      </c>
      <c r="BZ41" s="36">
        <v>159.1538462</v>
      </c>
      <c r="CA41" s="36">
        <v>1.1352059379999999</v>
      </c>
      <c r="CB41" s="36">
        <v>87.786259540000003</v>
      </c>
      <c r="CC41" s="36">
        <v>2584</v>
      </c>
      <c r="CD41" s="36">
        <v>560</v>
      </c>
      <c r="CE41" s="36">
        <v>3144</v>
      </c>
      <c r="CF41" s="36">
        <v>82.188295199999999</v>
      </c>
      <c r="CG41" s="36">
        <v>12.677419349999999</v>
      </c>
      <c r="CH41" s="36">
        <v>8</v>
      </c>
      <c r="CI41" s="36">
        <v>19</v>
      </c>
      <c r="CJ41" s="36">
        <v>130.1473536</v>
      </c>
      <c r="CK41" s="36">
        <v>20.738186420000002</v>
      </c>
      <c r="CL41" s="36">
        <v>9.7202883710000005</v>
      </c>
      <c r="CM41" s="36">
        <v>2.0605092699999998</v>
      </c>
      <c r="CN41" s="36">
        <v>10.173544250000001</v>
      </c>
      <c r="CO41" s="36">
        <v>2.1446433090000001</v>
      </c>
      <c r="CP41" s="35">
        <v>0.82439099999999998</v>
      </c>
      <c r="CQ41" s="35">
        <v>0.78079699999999996</v>
      </c>
      <c r="CR41" s="35">
        <v>3.9960879999999999</v>
      </c>
      <c r="CS41" s="35">
        <v>0.27943099999999998</v>
      </c>
      <c r="CT41" s="35">
        <v>1.071593</v>
      </c>
      <c r="CU41" s="35">
        <v>0.57915700000000003</v>
      </c>
      <c r="CV41" s="35">
        <v>0.248697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G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 x14ac:dyDescent="0.2"/>
  <cols>
    <col min="3" max="4" width="17.42578125" customWidth="1"/>
    <col min="6" max="6" width="17" customWidth="1"/>
    <col min="8" max="9" width="17.85546875" customWidth="1"/>
    <col min="10" max="10" width="14.42578125" customWidth="1"/>
    <col min="11" max="11" width="14.710937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19</v>
      </c>
      <c r="Z1" s="2" t="s">
        <v>24</v>
      </c>
      <c r="AA1" s="2" t="s">
        <v>25</v>
      </c>
      <c r="AB1" s="4" t="s">
        <v>26</v>
      </c>
      <c r="AC1" s="2" t="s">
        <v>27</v>
      </c>
      <c r="AD1" s="2" t="s">
        <v>19</v>
      </c>
      <c r="AE1" s="2" t="s">
        <v>28</v>
      </c>
      <c r="AF1" s="5"/>
      <c r="AG1" s="5"/>
    </row>
    <row r="2" spans="1:33" x14ac:dyDescent="0.2">
      <c r="A2" s="6">
        <v>1</v>
      </c>
      <c r="B2" s="6">
        <v>2</v>
      </c>
      <c r="C2" s="6" t="s">
        <v>29</v>
      </c>
      <c r="D2" s="7">
        <v>27.65</v>
      </c>
      <c r="E2" s="7">
        <v>26.62</v>
      </c>
      <c r="F2" s="7">
        <v>24.27</v>
      </c>
      <c r="G2" s="7">
        <v>1</v>
      </c>
      <c r="H2" s="7" t="s">
        <v>30</v>
      </c>
      <c r="I2" s="8">
        <v>140</v>
      </c>
      <c r="J2" s="8">
        <v>21.39</v>
      </c>
      <c r="K2" s="8">
        <f t="shared" ref="K2:K21" si="0">J2-F2</f>
        <v>-2.879999999999999</v>
      </c>
      <c r="L2" s="8">
        <v>80.3</v>
      </c>
      <c r="M2" s="8">
        <v>26.93</v>
      </c>
      <c r="N2" s="7">
        <v>256</v>
      </c>
      <c r="O2" s="8">
        <v>114</v>
      </c>
      <c r="P2" s="8">
        <v>27.32</v>
      </c>
      <c r="Q2" s="8">
        <v>76.62</v>
      </c>
      <c r="R2" s="8">
        <v>76.62</v>
      </c>
      <c r="S2" s="8">
        <f t="shared" ref="S2:S21" si="1">Q2-L2</f>
        <v>-3.6799999999999926</v>
      </c>
      <c r="T2" s="7">
        <v>28.13</v>
      </c>
      <c r="U2" s="7">
        <v>73.400000000000006</v>
      </c>
      <c r="V2" s="7">
        <f t="shared" ref="V2:V21" si="2">U2-R2</f>
        <v>-3.2199999999999989</v>
      </c>
      <c r="W2" s="8">
        <v>91</v>
      </c>
      <c r="X2" s="7">
        <v>199</v>
      </c>
      <c r="Y2" s="7">
        <v>27.55</v>
      </c>
      <c r="Z2" s="7">
        <v>72.099999999999994</v>
      </c>
      <c r="AA2" s="7">
        <v>81.489999999999995</v>
      </c>
      <c r="AB2" s="9">
        <v>51</v>
      </c>
      <c r="AC2" s="7">
        <v>104</v>
      </c>
      <c r="AD2" s="7">
        <v>27.27</v>
      </c>
      <c r="AE2" s="7">
        <v>77.19</v>
      </c>
      <c r="AF2" s="5"/>
      <c r="AG2" s="5"/>
    </row>
    <row r="3" spans="1:33" x14ac:dyDescent="0.2">
      <c r="A3" s="6">
        <v>2</v>
      </c>
      <c r="B3" s="6">
        <v>5</v>
      </c>
      <c r="C3" s="6" t="s">
        <v>31</v>
      </c>
      <c r="D3" s="7">
        <v>26.99</v>
      </c>
      <c r="E3" s="7">
        <v>26.23</v>
      </c>
      <c r="F3" s="7">
        <v>23.8</v>
      </c>
      <c r="G3" s="7">
        <v>2</v>
      </c>
      <c r="H3" s="7">
        <v>145</v>
      </c>
      <c r="I3" s="8">
        <v>215</v>
      </c>
      <c r="J3" s="8">
        <v>21.88</v>
      </c>
      <c r="K3" s="8">
        <f t="shared" si="0"/>
        <v>-1.9200000000000017</v>
      </c>
      <c r="L3" s="8">
        <v>93.78</v>
      </c>
      <c r="M3" s="8">
        <v>25.85</v>
      </c>
      <c r="N3" s="7">
        <v>222</v>
      </c>
      <c r="O3" s="8" t="s">
        <v>30</v>
      </c>
      <c r="P3" s="8">
        <v>26.21</v>
      </c>
      <c r="Q3" s="8">
        <v>92.65</v>
      </c>
      <c r="R3" s="8">
        <v>89.68</v>
      </c>
      <c r="S3" s="8">
        <f t="shared" si="1"/>
        <v>-1.1299999999999955</v>
      </c>
      <c r="T3" s="7">
        <v>27.31</v>
      </c>
      <c r="U3" s="7">
        <v>86.02</v>
      </c>
      <c r="V3" s="7">
        <f t="shared" si="2"/>
        <v>-3.6600000000000108</v>
      </c>
      <c r="W3" s="8">
        <v>93</v>
      </c>
      <c r="X3" s="7">
        <v>217</v>
      </c>
      <c r="Y3" s="7">
        <v>26.99</v>
      </c>
      <c r="Z3" s="7">
        <v>85.73</v>
      </c>
      <c r="AA3" s="7">
        <v>92.01</v>
      </c>
      <c r="AB3" s="9">
        <v>67</v>
      </c>
      <c r="AC3" s="7">
        <v>131</v>
      </c>
      <c r="AD3" s="7">
        <v>26.45</v>
      </c>
      <c r="AE3" s="7">
        <v>88.98</v>
      </c>
      <c r="AF3" s="5"/>
      <c r="AG3" s="5"/>
    </row>
    <row r="4" spans="1:33" x14ac:dyDescent="0.2">
      <c r="A4" s="6">
        <v>3</v>
      </c>
      <c r="B4" s="6">
        <v>4</v>
      </c>
      <c r="C4" s="6" t="s">
        <v>32</v>
      </c>
      <c r="D4" s="7">
        <v>27.48</v>
      </c>
      <c r="E4" s="7">
        <v>27.03</v>
      </c>
      <c r="F4" s="7">
        <v>22.68</v>
      </c>
      <c r="G4" s="7">
        <v>3</v>
      </c>
      <c r="H4" s="7" t="s">
        <v>30</v>
      </c>
      <c r="I4" s="8">
        <v>150</v>
      </c>
      <c r="J4" s="8">
        <v>19.36</v>
      </c>
      <c r="K4" s="8">
        <f t="shared" si="0"/>
        <v>-3.3200000000000003</v>
      </c>
      <c r="L4" s="8">
        <v>77.73</v>
      </c>
      <c r="M4" s="8">
        <v>27.48</v>
      </c>
      <c r="N4" s="7">
        <v>289</v>
      </c>
      <c r="O4" s="8">
        <v>131</v>
      </c>
      <c r="P4" s="8">
        <v>27.44</v>
      </c>
      <c r="Q4" s="8">
        <v>75.84</v>
      </c>
      <c r="R4" s="8">
        <v>77.02</v>
      </c>
      <c r="S4" s="8">
        <f t="shared" si="1"/>
        <v>-1.8900000000000006</v>
      </c>
      <c r="T4" s="7">
        <v>29.21</v>
      </c>
      <c r="U4" s="7">
        <v>74</v>
      </c>
      <c r="V4" s="7">
        <f t="shared" si="2"/>
        <v>-3.019999999999996</v>
      </c>
      <c r="W4" s="8">
        <v>110</v>
      </c>
      <c r="X4" s="7">
        <v>240</v>
      </c>
      <c r="Y4" s="7">
        <v>28.57</v>
      </c>
      <c r="Z4" s="7">
        <v>71.23</v>
      </c>
      <c r="AA4" s="7">
        <v>80.61</v>
      </c>
      <c r="AB4" s="9">
        <v>72</v>
      </c>
      <c r="AC4" s="7">
        <v>124</v>
      </c>
      <c r="AD4" s="7">
        <v>28.35</v>
      </c>
      <c r="AE4" s="7">
        <v>77.03</v>
      </c>
      <c r="AF4" s="5"/>
      <c r="AG4" s="5"/>
    </row>
    <row r="5" spans="1:33" x14ac:dyDescent="0.2">
      <c r="A5" s="6">
        <v>4</v>
      </c>
      <c r="B5" s="6">
        <v>3</v>
      </c>
      <c r="C5" s="6" t="s">
        <v>33</v>
      </c>
      <c r="D5" s="7">
        <v>26.78</v>
      </c>
      <c r="E5" s="7">
        <v>26.64</v>
      </c>
      <c r="F5" s="7">
        <v>21.58</v>
      </c>
      <c r="G5" s="7">
        <v>4</v>
      </c>
      <c r="H5" s="7">
        <v>163</v>
      </c>
      <c r="I5" s="8">
        <v>310</v>
      </c>
      <c r="J5" s="8">
        <v>20.21</v>
      </c>
      <c r="K5" s="8">
        <f t="shared" si="0"/>
        <v>-1.3699999999999974</v>
      </c>
      <c r="L5" s="8">
        <v>79.89</v>
      </c>
      <c r="M5" s="8">
        <v>26.27</v>
      </c>
      <c r="N5" s="7">
        <v>458</v>
      </c>
      <c r="O5" s="8">
        <v>179</v>
      </c>
      <c r="P5" s="8">
        <v>26.83</v>
      </c>
      <c r="Q5" s="8">
        <v>78.69</v>
      </c>
      <c r="R5" s="8">
        <v>78.69</v>
      </c>
      <c r="S5" s="8">
        <f t="shared" si="1"/>
        <v>-1.2000000000000028</v>
      </c>
      <c r="T5" s="7">
        <v>27.85</v>
      </c>
      <c r="U5" s="7">
        <v>75.650000000000006</v>
      </c>
      <c r="V5" s="7">
        <f t="shared" si="2"/>
        <v>-3.039999999999992</v>
      </c>
      <c r="W5" s="8">
        <v>94</v>
      </c>
      <c r="X5" s="7">
        <v>200</v>
      </c>
      <c r="Y5" s="7">
        <v>27.2</v>
      </c>
      <c r="Z5" s="7">
        <v>73.209999999999994</v>
      </c>
      <c r="AA5" s="7">
        <v>78.430000000000007</v>
      </c>
      <c r="AB5" s="9">
        <v>69</v>
      </c>
      <c r="AC5" s="7">
        <v>130</v>
      </c>
      <c r="AD5" s="7">
        <v>27</v>
      </c>
      <c r="AE5" s="7">
        <v>75.62</v>
      </c>
      <c r="AF5" s="5"/>
      <c r="AG5" s="5"/>
    </row>
    <row r="6" spans="1:33" x14ac:dyDescent="0.2">
      <c r="A6" s="6">
        <v>5</v>
      </c>
      <c r="B6" s="6">
        <v>1</v>
      </c>
      <c r="C6" s="6" t="s">
        <v>34</v>
      </c>
      <c r="D6" s="7">
        <v>23.53</v>
      </c>
      <c r="E6" s="7">
        <v>23.75</v>
      </c>
      <c r="F6" s="7">
        <v>20.77</v>
      </c>
      <c r="G6" s="7">
        <v>5</v>
      </c>
      <c r="H6" s="7">
        <v>170</v>
      </c>
      <c r="I6" s="8">
        <v>333</v>
      </c>
      <c r="J6" s="8">
        <v>19.82</v>
      </c>
      <c r="K6" s="8">
        <f t="shared" si="0"/>
        <v>-0.94999999999999929</v>
      </c>
      <c r="L6" s="8">
        <v>91.84</v>
      </c>
      <c r="M6" s="8">
        <v>23.6</v>
      </c>
      <c r="N6" s="7">
        <v>482</v>
      </c>
      <c r="O6" s="8">
        <v>142</v>
      </c>
      <c r="P6" s="8">
        <v>24.03</v>
      </c>
      <c r="Q6" s="8">
        <v>90.7</v>
      </c>
      <c r="R6" s="8">
        <v>90.7</v>
      </c>
      <c r="S6" s="8">
        <f t="shared" si="1"/>
        <v>-1.1400000000000006</v>
      </c>
      <c r="T6" s="7">
        <v>25.44</v>
      </c>
      <c r="U6" s="7">
        <v>87.67</v>
      </c>
      <c r="V6" s="7">
        <f t="shared" si="2"/>
        <v>-3.0300000000000011</v>
      </c>
      <c r="W6" s="8">
        <v>111</v>
      </c>
      <c r="X6" s="7">
        <v>236</v>
      </c>
      <c r="Y6" s="7">
        <v>25</v>
      </c>
      <c r="Z6" s="7">
        <v>86.8</v>
      </c>
      <c r="AA6" s="7">
        <v>92.73</v>
      </c>
      <c r="AB6" s="9">
        <v>66</v>
      </c>
      <c r="AC6" s="7">
        <v>135</v>
      </c>
      <c r="AD6" s="7">
        <v>24.14</v>
      </c>
      <c r="AE6" s="7">
        <v>91.99</v>
      </c>
      <c r="AF6" s="5"/>
      <c r="AG6" s="5"/>
    </row>
    <row r="7" spans="1:33" x14ac:dyDescent="0.2">
      <c r="A7" s="6">
        <v>6</v>
      </c>
      <c r="B7" s="6">
        <v>2</v>
      </c>
      <c r="C7" s="6" t="s">
        <v>35</v>
      </c>
      <c r="D7" s="7">
        <v>26.88</v>
      </c>
      <c r="E7" s="7">
        <v>27.54</v>
      </c>
      <c r="F7" s="7">
        <v>20.260000000000002</v>
      </c>
      <c r="G7" s="7">
        <v>6</v>
      </c>
      <c r="H7" s="7">
        <v>203</v>
      </c>
      <c r="I7" s="8">
        <v>384</v>
      </c>
      <c r="J7" s="8">
        <v>19.350000000000001</v>
      </c>
      <c r="K7" s="8">
        <f t="shared" si="0"/>
        <v>-0.91000000000000014</v>
      </c>
      <c r="L7" s="8">
        <v>78.61</v>
      </c>
      <c r="M7" s="8">
        <v>25.2</v>
      </c>
      <c r="N7" s="7">
        <v>532</v>
      </c>
      <c r="O7" s="8">
        <v>151</v>
      </c>
      <c r="P7" s="8">
        <v>26.38</v>
      </c>
      <c r="Q7" s="8">
        <v>76.03</v>
      </c>
      <c r="R7" s="8">
        <v>80.290000000000006</v>
      </c>
      <c r="S7" s="8">
        <f t="shared" si="1"/>
        <v>-2.5799999999999983</v>
      </c>
      <c r="T7" s="7">
        <v>27.22</v>
      </c>
      <c r="U7" s="7">
        <v>73.349999999999994</v>
      </c>
      <c r="V7" s="7">
        <f t="shared" si="2"/>
        <v>-6.9400000000000119</v>
      </c>
      <c r="W7" s="8">
        <v>109</v>
      </c>
      <c r="X7" s="7">
        <v>233</v>
      </c>
      <c r="Y7" s="7">
        <v>27.53</v>
      </c>
      <c r="Z7" s="7">
        <v>71.099999999999994</v>
      </c>
      <c r="AA7" s="7">
        <v>80.540000000000006</v>
      </c>
      <c r="AB7" s="9">
        <v>66</v>
      </c>
      <c r="AC7" s="7">
        <v>124</v>
      </c>
      <c r="AD7" s="7">
        <v>26.89</v>
      </c>
      <c r="AE7" s="7">
        <v>76.12</v>
      </c>
      <c r="AF7" s="5"/>
      <c r="AG7" s="5"/>
    </row>
    <row r="8" spans="1:33" x14ac:dyDescent="0.2">
      <c r="A8" s="6">
        <v>7</v>
      </c>
      <c r="B8" s="6">
        <v>5</v>
      </c>
      <c r="C8" s="6" t="s">
        <v>36</v>
      </c>
      <c r="D8" s="7">
        <v>27.69</v>
      </c>
      <c r="E8" s="7">
        <v>26.44</v>
      </c>
      <c r="F8" s="7">
        <v>21.99</v>
      </c>
      <c r="G8" s="7">
        <v>7</v>
      </c>
      <c r="H8" s="7">
        <v>185</v>
      </c>
      <c r="I8" s="8">
        <v>339</v>
      </c>
      <c r="J8" s="8">
        <v>21.16</v>
      </c>
      <c r="K8" s="8">
        <f t="shared" si="0"/>
        <v>-0.82999999999999829</v>
      </c>
      <c r="L8" s="8">
        <v>76.64</v>
      </c>
      <c r="M8" s="8">
        <v>25.36</v>
      </c>
      <c r="N8" s="7">
        <v>467</v>
      </c>
      <c r="O8" s="8">
        <v>131</v>
      </c>
      <c r="P8" s="8">
        <v>26.15</v>
      </c>
      <c r="Q8" s="8">
        <v>75.25</v>
      </c>
      <c r="R8" s="8">
        <v>75.25</v>
      </c>
      <c r="S8" s="8">
        <f t="shared" si="1"/>
        <v>-1.3900000000000006</v>
      </c>
      <c r="T8" s="7">
        <v>25.82</v>
      </c>
      <c r="U8" s="7">
        <v>72.569999999999993</v>
      </c>
      <c r="V8" s="7">
        <f t="shared" si="2"/>
        <v>-2.6800000000000068</v>
      </c>
      <c r="W8" s="8">
        <v>139</v>
      </c>
      <c r="X8" s="7">
        <v>260</v>
      </c>
      <c r="Y8" s="7">
        <v>26.23</v>
      </c>
      <c r="Z8" s="7">
        <v>71.02</v>
      </c>
      <c r="AA8" s="7">
        <v>75.03</v>
      </c>
      <c r="AB8" s="9">
        <v>58</v>
      </c>
      <c r="AC8" s="7">
        <v>113</v>
      </c>
      <c r="AD8" s="7">
        <v>26</v>
      </c>
      <c r="AE8" s="7">
        <v>73.34</v>
      </c>
      <c r="AF8" s="5"/>
      <c r="AG8" s="5"/>
    </row>
    <row r="9" spans="1:33" x14ac:dyDescent="0.2">
      <c r="A9" s="6">
        <v>8</v>
      </c>
      <c r="B9" s="6">
        <v>4</v>
      </c>
      <c r="C9" s="6" t="s">
        <v>37</v>
      </c>
      <c r="D9" s="7">
        <v>28.56</v>
      </c>
      <c r="E9" s="7">
        <v>28.54</v>
      </c>
      <c r="F9" s="7">
        <v>21.86</v>
      </c>
      <c r="G9" s="7">
        <v>8</v>
      </c>
      <c r="H9" s="7">
        <v>140</v>
      </c>
      <c r="I9" s="8">
        <v>272</v>
      </c>
      <c r="J9" s="8">
        <v>18.37</v>
      </c>
      <c r="K9" s="8">
        <f t="shared" si="0"/>
        <v>-3.4899999999999984</v>
      </c>
      <c r="L9" s="8">
        <v>77.489999999999995</v>
      </c>
      <c r="M9" s="8">
        <v>29.15</v>
      </c>
      <c r="N9" s="7">
        <v>390</v>
      </c>
      <c r="O9" s="8">
        <v>166</v>
      </c>
      <c r="P9" s="8">
        <v>28.22</v>
      </c>
      <c r="Q9" s="8">
        <v>73.97</v>
      </c>
      <c r="R9" s="8">
        <v>81.680000000000007</v>
      </c>
      <c r="S9" s="8">
        <f t="shared" si="1"/>
        <v>-3.519999999999996</v>
      </c>
      <c r="T9" s="7">
        <v>28.7</v>
      </c>
      <c r="U9" s="7">
        <v>77.42</v>
      </c>
      <c r="V9" s="7">
        <f t="shared" si="2"/>
        <v>-4.2600000000000051</v>
      </c>
      <c r="W9" s="8">
        <v>132</v>
      </c>
      <c r="X9" s="7">
        <v>250</v>
      </c>
      <c r="Y9" s="7">
        <v>28.82</v>
      </c>
      <c r="Z9" s="7">
        <v>74.67</v>
      </c>
      <c r="AA9" s="7">
        <v>79.78</v>
      </c>
      <c r="AB9" s="9">
        <v>61</v>
      </c>
      <c r="AC9" s="7">
        <v>116</v>
      </c>
      <c r="AD9" s="7">
        <v>28.38</v>
      </c>
      <c r="AE9" s="7">
        <v>76.98</v>
      </c>
      <c r="AF9" s="5"/>
      <c r="AG9" s="5"/>
    </row>
    <row r="10" spans="1:33" x14ac:dyDescent="0.2">
      <c r="A10" s="6">
        <v>9</v>
      </c>
      <c r="B10" s="6">
        <v>1</v>
      </c>
      <c r="C10" s="6" t="s">
        <v>38</v>
      </c>
      <c r="D10" s="7">
        <v>26.8</v>
      </c>
      <c r="E10" s="7">
        <v>27.39</v>
      </c>
      <c r="F10" s="7">
        <v>19.600000000000001</v>
      </c>
      <c r="G10" s="7">
        <v>9</v>
      </c>
      <c r="H10" s="7">
        <v>130</v>
      </c>
      <c r="I10" s="8">
        <v>280</v>
      </c>
      <c r="J10" s="8">
        <v>18.3</v>
      </c>
      <c r="K10" s="8">
        <f t="shared" si="0"/>
        <v>-1.3000000000000007</v>
      </c>
      <c r="L10" s="8">
        <v>72.48</v>
      </c>
      <c r="M10" s="8">
        <v>26.28</v>
      </c>
      <c r="N10" s="7">
        <v>418</v>
      </c>
      <c r="O10" s="8">
        <v>159</v>
      </c>
      <c r="P10" s="8">
        <v>27.18</v>
      </c>
      <c r="Q10" s="8">
        <v>70.22</v>
      </c>
      <c r="R10" s="8">
        <v>70.22</v>
      </c>
      <c r="S10" s="8">
        <f t="shared" si="1"/>
        <v>-2.2600000000000051</v>
      </c>
      <c r="T10" s="7">
        <v>26.01</v>
      </c>
      <c r="U10" s="7">
        <v>64.62</v>
      </c>
      <c r="V10" s="7">
        <f t="shared" si="2"/>
        <v>-5.5999999999999943</v>
      </c>
      <c r="W10" s="8">
        <v>120</v>
      </c>
      <c r="X10" s="7">
        <v>233</v>
      </c>
      <c r="Y10" s="7">
        <v>27.33</v>
      </c>
      <c r="Z10" s="7">
        <v>60.26</v>
      </c>
      <c r="AA10" s="7">
        <v>76.819999999999993</v>
      </c>
      <c r="AB10" s="9">
        <v>47</v>
      </c>
      <c r="AC10" s="7">
        <v>93</v>
      </c>
      <c r="AD10" s="7">
        <v>27.83</v>
      </c>
      <c r="AE10" s="7">
        <v>70</v>
      </c>
      <c r="AF10" s="5"/>
      <c r="AG10" s="5"/>
    </row>
    <row r="11" spans="1:33" x14ac:dyDescent="0.2">
      <c r="A11" s="6">
        <v>10</v>
      </c>
      <c r="B11" s="6">
        <v>3</v>
      </c>
      <c r="C11" s="6" t="s">
        <v>39</v>
      </c>
      <c r="D11" s="7">
        <v>25.6</v>
      </c>
      <c r="E11" s="7">
        <v>25.37</v>
      </c>
      <c r="F11" s="7">
        <v>19.309999999999999</v>
      </c>
      <c r="G11" s="7">
        <v>10</v>
      </c>
      <c r="H11" s="7">
        <v>151</v>
      </c>
      <c r="I11" s="8">
        <v>298</v>
      </c>
      <c r="J11" s="8">
        <v>17.97</v>
      </c>
      <c r="K11" s="8">
        <f t="shared" si="0"/>
        <v>-1.3399999999999999</v>
      </c>
      <c r="L11" s="8">
        <v>77.42</v>
      </c>
      <c r="M11" s="8">
        <v>25.48</v>
      </c>
      <c r="N11" s="7">
        <v>435</v>
      </c>
      <c r="O11" s="8">
        <v>150</v>
      </c>
      <c r="P11" s="8">
        <v>25.9</v>
      </c>
      <c r="Q11" s="8">
        <v>76.010000000000005</v>
      </c>
      <c r="R11" s="8">
        <v>80.510000000000005</v>
      </c>
      <c r="S11" s="8">
        <f t="shared" si="1"/>
        <v>-1.4099999999999966</v>
      </c>
      <c r="T11" s="7">
        <v>26.19</v>
      </c>
      <c r="U11" s="7">
        <v>77.540000000000006</v>
      </c>
      <c r="V11" s="7">
        <f t="shared" si="2"/>
        <v>-2.9699999999999989</v>
      </c>
      <c r="W11" s="8">
        <v>116</v>
      </c>
      <c r="X11" s="7">
        <v>237</v>
      </c>
      <c r="Y11" s="7">
        <v>25.9</v>
      </c>
      <c r="Z11" s="7">
        <v>75.47</v>
      </c>
      <c r="AA11" s="7">
        <v>80.48</v>
      </c>
      <c r="AB11" s="9">
        <v>77</v>
      </c>
      <c r="AC11" s="7">
        <v>144</v>
      </c>
      <c r="AD11" s="7">
        <v>25.03</v>
      </c>
      <c r="AE11" s="7">
        <v>77.400000000000006</v>
      </c>
      <c r="AF11" s="5"/>
      <c r="AG11" s="5"/>
    </row>
    <row r="12" spans="1:33" x14ac:dyDescent="0.2">
      <c r="A12" s="6">
        <v>11</v>
      </c>
      <c r="B12" s="6">
        <v>4</v>
      </c>
      <c r="C12" s="6" t="s">
        <v>40</v>
      </c>
      <c r="D12" s="7">
        <v>28.99</v>
      </c>
      <c r="E12" s="7">
        <v>28.99</v>
      </c>
      <c r="F12" s="7">
        <v>19.97</v>
      </c>
      <c r="G12" s="7">
        <v>11</v>
      </c>
      <c r="H12" s="7">
        <v>140</v>
      </c>
      <c r="I12" s="8">
        <v>276</v>
      </c>
      <c r="J12" s="8">
        <v>19.02</v>
      </c>
      <c r="K12" s="8">
        <f t="shared" si="0"/>
        <v>-0.94999999999999929</v>
      </c>
      <c r="L12" s="8">
        <v>78.02</v>
      </c>
      <c r="M12" s="8">
        <v>28.18</v>
      </c>
      <c r="N12" s="7">
        <v>423</v>
      </c>
      <c r="O12" s="8">
        <v>148</v>
      </c>
      <c r="P12" s="8">
        <v>28.71</v>
      </c>
      <c r="Q12" s="8">
        <v>74.77</v>
      </c>
      <c r="R12" s="8">
        <v>78.989999999999995</v>
      </c>
      <c r="S12" s="8">
        <f t="shared" si="1"/>
        <v>-3.25</v>
      </c>
      <c r="T12" s="7">
        <v>29.87</v>
      </c>
      <c r="U12" s="7">
        <v>77.14</v>
      </c>
      <c r="V12" s="7">
        <f t="shared" si="2"/>
        <v>-1.8499999999999943</v>
      </c>
      <c r="W12" s="8">
        <v>85</v>
      </c>
      <c r="X12" s="7">
        <v>169</v>
      </c>
      <c r="Y12" s="7">
        <v>28.1</v>
      </c>
      <c r="Z12" s="7">
        <v>73.42</v>
      </c>
      <c r="AA12" s="7">
        <v>78.02</v>
      </c>
      <c r="AB12" s="9">
        <v>62</v>
      </c>
      <c r="AC12" s="7">
        <v>131</v>
      </c>
      <c r="AD12" s="7">
        <v>27.81</v>
      </c>
      <c r="AE12" s="7">
        <v>75.989999999999995</v>
      </c>
      <c r="AF12" s="5"/>
      <c r="AG12" s="5"/>
    </row>
    <row r="13" spans="1:33" x14ac:dyDescent="0.2">
      <c r="A13" s="6">
        <v>12</v>
      </c>
      <c r="B13" s="6">
        <v>1</v>
      </c>
      <c r="C13" s="6" t="s">
        <v>41</v>
      </c>
      <c r="D13" s="7">
        <v>27.23</v>
      </c>
      <c r="E13" s="7">
        <v>27.35</v>
      </c>
      <c r="F13" s="7">
        <v>18.75</v>
      </c>
      <c r="G13" s="7">
        <v>12</v>
      </c>
      <c r="H13" s="7">
        <v>66</v>
      </c>
      <c r="I13" s="8">
        <v>232</v>
      </c>
      <c r="J13" s="8">
        <v>17.62</v>
      </c>
      <c r="K13" s="8">
        <f t="shared" si="0"/>
        <v>-1.129999999999999</v>
      </c>
      <c r="L13" s="8">
        <v>72.319999999999993</v>
      </c>
      <c r="M13" s="8">
        <v>25.93</v>
      </c>
      <c r="N13" s="7">
        <v>371</v>
      </c>
      <c r="O13" s="8">
        <v>174</v>
      </c>
      <c r="P13" s="8">
        <v>26.37</v>
      </c>
      <c r="Q13" s="8">
        <v>69.569999999999993</v>
      </c>
      <c r="R13" s="8">
        <v>78.02</v>
      </c>
      <c r="S13" s="8">
        <f t="shared" si="1"/>
        <v>-2.75</v>
      </c>
      <c r="T13" s="7">
        <v>27.03</v>
      </c>
      <c r="U13" s="7">
        <v>72.010000000000005</v>
      </c>
      <c r="V13" s="7">
        <f t="shared" si="2"/>
        <v>-6.0099999999999909</v>
      </c>
      <c r="W13" s="8">
        <v>162</v>
      </c>
      <c r="X13" s="7">
        <v>302</v>
      </c>
      <c r="Y13" s="7">
        <v>26.55</v>
      </c>
      <c r="Z13" s="7">
        <v>72.77</v>
      </c>
      <c r="AA13" s="7">
        <v>73.709999999999994</v>
      </c>
      <c r="AB13" s="9">
        <v>93</v>
      </c>
      <c r="AC13" s="7">
        <v>187</v>
      </c>
      <c r="AD13" s="7">
        <v>26.47</v>
      </c>
      <c r="AE13" s="7">
        <v>70.290000000000006</v>
      </c>
      <c r="AF13" s="5"/>
      <c r="AG13" s="5"/>
    </row>
    <row r="14" spans="1:33" x14ac:dyDescent="0.2">
      <c r="A14" s="6">
        <v>13</v>
      </c>
      <c r="B14" s="6">
        <v>2</v>
      </c>
      <c r="C14" s="6" t="s">
        <v>42</v>
      </c>
      <c r="D14" s="7">
        <v>27.1</v>
      </c>
      <c r="E14" s="7">
        <v>26.36</v>
      </c>
      <c r="F14" s="7">
        <v>18.53</v>
      </c>
      <c r="G14" s="7">
        <v>13</v>
      </c>
      <c r="H14" s="7">
        <v>177</v>
      </c>
      <c r="I14" s="8">
        <v>333</v>
      </c>
      <c r="J14" s="8">
        <v>14.97</v>
      </c>
      <c r="K14" s="8">
        <f t="shared" si="0"/>
        <v>-3.5600000000000005</v>
      </c>
      <c r="L14" s="8">
        <v>74.239999999999995</v>
      </c>
      <c r="M14" s="8">
        <v>26.44</v>
      </c>
      <c r="N14" s="7">
        <v>489</v>
      </c>
      <c r="O14" s="8">
        <v>161</v>
      </c>
      <c r="P14" s="8">
        <v>27.43</v>
      </c>
      <c r="Q14" s="8">
        <v>72.55</v>
      </c>
      <c r="R14" s="8">
        <v>76.290000000000006</v>
      </c>
      <c r="S14" s="8">
        <f t="shared" si="1"/>
        <v>-1.6899999999999977</v>
      </c>
      <c r="T14" s="7">
        <v>27.44</v>
      </c>
      <c r="U14" s="7">
        <v>74.819999999999993</v>
      </c>
      <c r="V14" s="7">
        <f t="shared" si="2"/>
        <v>-1.4700000000000131</v>
      </c>
      <c r="W14" s="8">
        <v>129</v>
      </c>
      <c r="X14" s="7">
        <v>258</v>
      </c>
      <c r="Y14" s="7">
        <v>26.57</v>
      </c>
      <c r="Z14" s="7">
        <v>72.87</v>
      </c>
      <c r="AA14" s="7">
        <v>78.58</v>
      </c>
      <c r="AB14" s="9">
        <v>86</v>
      </c>
      <c r="AC14" s="7">
        <v>158</v>
      </c>
      <c r="AD14" s="7">
        <v>26.02</v>
      </c>
      <c r="AE14" s="7">
        <v>75.39</v>
      </c>
      <c r="AF14" s="5"/>
      <c r="AG14" s="5"/>
    </row>
    <row r="15" spans="1:33" x14ac:dyDescent="0.2">
      <c r="A15" s="6">
        <v>14</v>
      </c>
      <c r="B15" s="6">
        <v>3</v>
      </c>
      <c r="C15" s="6" t="s">
        <v>43</v>
      </c>
      <c r="D15" s="7">
        <v>25.37</v>
      </c>
      <c r="E15" s="7">
        <v>24.77</v>
      </c>
      <c r="F15" s="7">
        <v>18.16</v>
      </c>
      <c r="G15" s="7">
        <v>14</v>
      </c>
      <c r="H15" s="7">
        <v>68</v>
      </c>
      <c r="I15" s="8">
        <v>204</v>
      </c>
      <c r="J15" s="8">
        <v>16.18</v>
      </c>
      <c r="K15" s="8">
        <f t="shared" si="0"/>
        <v>-1.9800000000000004</v>
      </c>
      <c r="L15" s="8">
        <v>74.97</v>
      </c>
      <c r="M15" s="8">
        <v>25</v>
      </c>
      <c r="N15" s="7">
        <v>405</v>
      </c>
      <c r="O15" s="8">
        <v>178</v>
      </c>
      <c r="P15" s="8">
        <v>25.57</v>
      </c>
      <c r="Q15" s="8">
        <v>73.790000000000006</v>
      </c>
      <c r="R15" s="8">
        <v>81.180000000000007</v>
      </c>
      <c r="S15" s="8">
        <f t="shared" si="1"/>
        <v>-1.1799999999999926</v>
      </c>
      <c r="T15" s="7">
        <v>26.49</v>
      </c>
      <c r="U15" s="7">
        <v>77.16</v>
      </c>
      <c r="V15" s="7">
        <f t="shared" si="2"/>
        <v>-4.0200000000000102</v>
      </c>
      <c r="W15" s="8">
        <v>146</v>
      </c>
      <c r="X15" s="7">
        <v>271</v>
      </c>
      <c r="Y15" s="7">
        <v>26.59</v>
      </c>
      <c r="Z15" s="7">
        <v>75.13</v>
      </c>
      <c r="AA15" s="7">
        <v>77.56</v>
      </c>
      <c r="AB15" s="9">
        <v>79</v>
      </c>
      <c r="AC15" s="7">
        <v>137</v>
      </c>
      <c r="AD15" s="7">
        <v>26.03</v>
      </c>
      <c r="AE15" s="7">
        <v>74.930000000000007</v>
      </c>
      <c r="AF15" s="5"/>
      <c r="AG15" s="5"/>
    </row>
    <row r="16" spans="1:33" x14ac:dyDescent="0.2">
      <c r="A16" s="6">
        <v>15</v>
      </c>
      <c r="B16" s="6">
        <v>5</v>
      </c>
      <c r="C16" s="6" t="s">
        <v>44</v>
      </c>
      <c r="D16" s="7">
        <v>26.19</v>
      </c>
      <c r="E16" s="7">
        <v>26.66</v>
      </c>
      <c r="F16" s="7">
        <v>19.989999999999998</v>
      </c>
      <c r="G16" s="7">
        <v>15</v>
      </c>
      <c r="H16" s="7">
        <v>172</v>
      </c>
      <c r="I16" s="8">
        <v>314</v>
      </c>
      <c r="J16" s="8">
        <v>17.62</v>
      </c>
      <c r="K16" s="8">
        <f t="shared" si="0"/>
        <v>-2.3699999999999974</v>
      </c>
      <c r="L16" s="8">
        <v>77.680000000000007</v>
      </c>
      <c r="M16" s="8">
        <v>26.21</v>
      </c>
      <c r="N16" s="7">
        <v>443</v>
      </c>
      <c r="O16" s="8">
        <v>139</v>
      </c>
      <c r="P16" s="8">
        <v>26.48</v>
      </c>
      <c r="Q16" s="8">
        <v>74.790000000000006</v>
      </c>
      <c r="R16" s="8">
        <v>77.87</v>
      </c>
      <c r="S16" s="8">
        <f t="shared" si="1"/>
        <v>-2.8900000000000006</v>
      </c>
      <c r="T16" s="7">
        <v>25.44</v>
      </c>
      <c r="U16" s="7">
        <v>75.66</v>
      </c>
      <c r="V16" s="7">
        <f t="shared" si="2"/>
        <v>-2.210000000000008</v>
      </c>
      <c r="W16" s="8">
        <v>95</v>
      </c>
      <c r="X16" s="7">
        <v>225</v>
      </c>
      <c r="Y16" s="7">
        <v>25.88</v>
      </c>
      <c r="Z16" s="7">
        <v>73.64</v>
      </c>
      <c r="AA16" s="7">
        <v>80.989999999999995</v>
      </c>
      <c r="AB16" s="9">
        <v>65</v>
      </c>
      <c r="AC16" s="7">
        <v>133</v>
      </c>
      <c r="AD16" s="7">
        <v>25.83</v>
      </c>
      <c r="AE16" s="7">
        <v>76.17</v>
      </c>
      <c r="AF16" s="5"/>
      <c r="AG16" s="5"/>
    </row>
    <row r="17" spans="1:33" x14ac:dyDescent="0.2">
      <c r="A17" s="6">
        <v>16</v>
      </c>
      <c r="B17" s="6">
        <v>4</v>
      </c>
      <c r="C17" s="6" t="s">
        <v>45</v>
      </c>
      <c r="D17" s="7">
        <v>29.24</v>
      </c>
      <c r="E17" s="7">
        <v>29.03</v>
      </c>
      <c r="F17" s="7">
        <v>18.850000000000001</v>
      </c>
      <c r="G17" s="7">
        <v>16</v>
      </c>
      <c r="H17" s="7">
        <v>221</v>
      </c>
      <c r="I17" s="8">
        <v>414</v>
      </c>
      <c r="J17" s="8">
        <v>18.309999999999999</v>
      </c>
      <c r="K17" s="8">
        <f t="shared" si="0"/>
        <v>-0.5400000000000027</v>
      </c>
      <c r="L17" s="8">
        <v>73.77</v>
      </c>
      <c r="M17" s="8">
        <v>29.01</v>
      </c>
      <c r="N17" s="7">
        <v>579</v>
      </c>
      <c r="O17" s="8" t="s">
        <v>46</v>
      </c>
      <c r="P17" s="8">
        <v>28.99</v>
      </c>
      <c r="Q17" s="8">
        <v>72.45</v>
      </c>
      <c r="R17" s="8">
        <v>80.31</v>
      </c>
      <c r="S17" s="8">
        <f t="shared" si="1"/>
        <v>-1.3199999999999932</v>
      </c>
      <c r="T17" s="7">
        <v>28.4</v>
      </c>
      <c r="U17" s="7">
        <v>76.84</v>
      </c>
      <c r="V17" s="7">
        <f t="shared" si="2"/>
        <v>-3.4699999999999989</v>
      </c>
      <c r="W17" s="8">
        <v>150</v>
      </c>
      <c r="X17" s="7">
        <v>319</v>
      </c>
      <c r="Y17" s="7">
        <v>28.51</v>
      </c>
      <c r="Z17" s="7">
        <v>75.42</v>
      </c>
      <c r="AA17" s="7">
        <v>78.27</v>
      </c>
      <c r="AB17" s="9">
        <v>81</v>
      </c>
      <c r="AC17" s="7">
        <v>158</v>
      </c>
      <c r="AD17" s="7">
        <v>28.62</v>
      </c>
      <c r="AE17" s="7">
        <v>73.58</v>
      </c>
      <c r="AF17" s="5"/>
      <c r="AG17" s="5"/>
    </row>
    <row r="18" spans="1:33" x14ac:dyDescent="0.2">
      <c r="A18" s="6">
        <v>17</v>
      </c>
      <c r="B18" s="6">
        <v>2</v>
      </c>
      <c r="C18" s="6" t="s">
        <v>47</v>
      </c>
      <c r="D18" s="7">
        <v>25.47</v>
      </c>
      <c r="E18" s="7">
        <v>25.17</v>
      </c>
      <c r="F18" s="7">
        <v>21.13</v>
      </c>
      <c r="G18" s="7">
        <v>17</v>
      </c>
      <c r="H18" s="7">
        <v>201</v>
      </c>
      <c r="I18" s="8">
        <v>371</v>
      </c>
      <c r="J18" s="8">
        <v>20.260000000000002</v>
      </c>
      <c r="K18" s="8">
        <f t="shared" si="0"/>
        <v>-0.86999999999999744</v>
      </c>
      <c r="L18" s="8">
        <v>75.459999999999994</v>
      </c>
      <c r="M18" s="8">
        <v>25.16</v>
      </c>
      <c r="N18" s="7">
        <v>534</v>
      </c>
      <c r="O18" s="8">
        <v>166</v>
      </c>
      <c r="P18" s="8">
        <v>25.02</v>
      </c>
      <c r="Q18" s="8">
        <v>72.47</v>
      </c>
      <c r="R18" s="8">
        <v>72.47</v>
      </c>
      <c r="S18" s="8">
        <f t="shared" si="1"/>
        <v>-2.9899999999999949</v>
      </c>
      <c r="T18" s="7">
        <v>24.99</v>
      </c>
      <c r="U18" s="7">
        <v>71.180000000000007</v>
      </c>
      <c r="V18" s="7">
        <f t="shared" si="2"/>
        <v>-1.289999999999992</v>
      </c>
      <c r="W18" s="8">
        <v>164</v>
      </c>
      <c r="X18" s="7">
        <v>324</v>
      </c>
      <c r="Y18" s="7">
        <v>25.11</v>
      </c>
      <c r="Z18" s="7">
        <v>71.03</v>
      </c>
      <c r="AA18" s="7">
        <v>76.27</v>
      </c>
      <c r="AB18" s="9">
        <v>102</v>
      </c>
      <c r="AC18" s="7">
        <v>214</v>
      </c>
      <c r="AD18" s="7">
        <v>24.97</v>
      </c>
      <c r="AE18" s="7">
        <v>74.099999999999994</v>
      </c>
      <c r="AF18" s="5"/>
      <c r="AG18" s="5"/>
    </row>
    <row r="19" spans="1:33" x14ac:dyDescent="0.2">
      <c r="A19" s="6">
        <v>18</v>
      </c>
      <c r="B19" s="6">
        <v>5</v>
      </c>
      <c r="C19" s="6" t="s">
        <v>48</v>
      </c>
      <c r="D19" s="7">
        <v>27.16</v>
      </c>
      <c r="E19" s="7">
        <v>26.57</v>
      </c>
      <c r="F19" s="7">
        <v>20.32</v>
      </c>
      <c r="G19" s="7">
        <v>18</v>
      </c>
      <c r="H19" s="7">
        <v>140</v>
      </c>
      <c r="I19" s="8">
        <v>302</v>
      </c>
      <c r="J19" s="8">
        <v>19.010000000000002</v>
      </c>
      <c r="K19" s="8">
        <f t="shared" si="0"/>
        <v>-1.3099999999999987</v>
      </c>
      <c r="L19" s="8">
        <v>73.16</v>
      </c>
      <c r="M19" s="8">
        <v>26.42</v>
      </c>
      <c r="N19" s="7">
        <v>444</v>
      </c>
      <c r="O19" s="8">
        <v>154</v>
      </c>
      <c r="P19" s="8">
        <v>27.36</v>
      </c>
      <c r="Q19" s="8">
        <v>72.510000000000005</v>
      </c>
      <c r="R19" s="8">
        <v>75.81</v>
      </c>
      <c r="S19" s="8">
        <f t="shared" si="1"/>
        <v>-0.64999999999999147</v>
      </c>
      <c r="T19" s="7">
        <v>26.78</v>
      </c>
      <c r="U19" s="7">
        <v>70.010000000000005</v>
      </c>
      <c r="V19" s="7">
        <f t="shared" si="2"/>
        <v>-5.7999999999999972</v>
      </c>
      <c r="W19" s="8">
        <v>161</v>
      </c>
      <c r="X19" s="7">
        <v>315</v>
      </c>
      <c r="Y19" s="7">
        <v>28.35</v>
      </c>
      <c r="Z19" s="7">
        <v>65.16</v>
      </c>
      <c r="AA19" s="7">
        <v>73.540000000000006</v>
      </c>
      <c r="AB19" s="9">
        <v>89</v>
      </c>
      <c r="AC19" s="7">
        <v>160</v>
      </c>
      <c r="AD19" s="7">
        <v>27.13</v>
      </c>
      <c r="AE19" s="7">
        <v>70.66</v>
      </c>
      <c r="AF19" s="5"/>
      <c r="AG19" s="5"/>
    </row>
    <row r="20" spans="1:33" x14ac:dyDescent="0.2">
      <c r="A20" s="6">
        <v>19</v>
      </c>
      <c r="B20" s="6">
        <v>1</v>
      </c>
      <c r="C20" s="6" t="s">
        <v>49</v>
      </c>
      <c r="D20" s="7">
        <v>27.97</v>
      </c>
      <c r="E20" s="7">
        <v>27.75</v>
      </c>
      <c r="F20" s="7">
        <v>19.37</v>
      </c>
      <c r="G20" s="7">
        <v>19</v>
      </c>
      <c r="H20" s="7">
        <v>120</v>
      </c>
      <c r="I20" s="8">
        <v>262</v>
      </c>
      <c r="J20" s="8">
        <v>18.309999999999999</v>
      </c>
      <c r="K20" s="8">
        <f t="shared" si="0"/>
        <v>-1.0600000000000023</v>
      </c>
      <c r="L20" s="8">
        <v>77.319999999999993</v>
      </c>
      <c r="M20" s="8">
        <v>27</v>
      </c>
      <c r="N20" s="7">
        <v>415</v>
      </c>
      <c r="O20" s="8">
        <v>144</v>
      </c>
      <c r="P20" s="8">
        <v>27.64</v>
      </c>
      <c r="Q20" s="8">
        <v>75.34</v>
      </c>
      <c r="R20" s="8">
        <v>78.42</v>
      </c>
      <c r="S20" s="8">
        <f t="shared" si="1"/>
        <v>-1.9799999999999898</v>
      </c>
      <c r="T20" s="7">
        <v>28.83</v>
      </c>
      <c r="U20" s="7">
        <v>75.010000000000005</v>
      </c>
      <c r="V20" s="7">
        <f t="shared" si="2"/>
        <v>-3.4099999999999966</v>
      </c>
      <c r="W20" s="8">
        <v>152</v>
      </c>
      <c r="X20" s="7">
        <v>287</v>
      </c>
      <c r="Y20" s="7">
        <v>28.87</v>
      </c>
      <c r="Z20" s="7">
        <v>71.83</v>
      </c>
      <c r="AA20" s="7">
        <v>79.97</v>
      </c>
      <c r="AB20" s="9">
        <v>72</v>
      </c>
      <c r="AC20" s="7">
        <v>133</v>
      </c>
      <c r="AD20" s="7">
        <v>28</v>
      </c>
      <c r="AE20" s="7">
        <v>76.42</v>
      </c>
      <c r="AF20" s="5"/>
      <c r="AG20" s="5"/>
    </row>
    <row r="21" spans="1:33" x14ac:dyDescent="0.2">
      <c r="A21" s="6">
        <v>20</v>
      </c>
      <c r="B21" s="6">
        <v>3</v>
      </c>
      <c r="C21" s="6" t="s">
        <v>50</v>
      </c>
      <c r="D21" s="7">
        <v>27.03</v>
      </c>
      <c r="E21" s="7">
        <v>26.02</v>
      </c>
      <c r="F21" s="7">
        <v>18.28</v>
      </c>
      <c r="G21" s="7">
        <v>20</v>
      </c>
      <c r="H21" s="7">
        <v>181</v>
      </c>
      <c r="I21" s="8">
        <v>340</v>
      </c>
      <c r="J21" s="8">
        <v>18.03</v>
      </c>
      <c r="K21" s="8">
        <f t="shared" si="0"/>
        <v>-0.25</v>
      </c>
      <c r="L21" s="8">
        <v>72.97</v>
      </c>
      <c r="M21" s="8">
        <v>26.43</v>
      </c>
      <c r="N21" s="7">
        <v>509</v>
      </c>
      <c r="O21" s="8">
        <v>200</v>
      </c>
      <c r="P21" s="8">
        <v>26.76</v>
      </c>
      <c r="Q21" s="8">
        <v>72.790000000000006</v>
      </c>
      <c r="R21" s="8">
        <v>80.959999999999994</v>
      </c>
      <c r="S21" s="8">
        <f t="shared" si="1"/>
        <v>-0.17999999999999261</v>
      </c>
      <c r="T21" s="7">
        <v>26.56</v>
      </c>
      <c r="U21" s="7">
        <v>78.75</v>
      </c>
      <c r="V21" s="7">
        <f t="shared" si="2"/>
        <v>-2.2099999999999937</v>
      </c>
      <c r="W21" s="8">
        <v>143</v>
      </c>
      <c r="X21" s="7">
        <v>285</v>
      </c>
      <c r="Y21" s="7">
        <v>26.77</v>
      </c>
      <c r="Z21" s="7">
        <v>76.17</v>
      </c>
      <c r="AA21" s="7">
        <v>74.16</v>
      </c>
      <c r="AB21" s="9">
        <v>69</v>
      </c>
      <c r="AC21" s="7">
        <v>128</v>
      </c>
      <c r="AD21" s="7">
        <v>26.41</v>
      </c>
      <c r="AE21" s="7">
        <v>71.099999999999994</v>
      </c>
      <c r="AF21" s="5"/>
      <c r="AG21" s="5"/>
    </row>
    <row r="22" spans="1:33" x14ac:dyDescent="0.2">
      <c r="AF22" s="10"/>
      <c r="AG22" s="10"/>
    </row>
    <row r="23" spans="1:33" x14ac:dyDescent="0.2">
      <c r="AF23" s="10"/>
      <c r="AG23" s="10"/>
    </row>
    <row r="24" spans="1:33" x14ac:dyDescent="0.2">
      <c r="AF24" s="10"/>
      <c r="AG24" s="10"/>
    </row>
    <row r="25" spans="1:33" x14ac:dyDescent="0.2">
      <c r="AF25" s="10"/>
      <c r="AG25" s="10"/>
    </row>
    <row r="26" spans="1:33" x14ac:dyDescent="0.2">
      <c r="AF26" s="10"/>
      <c r="AG26" s="10"/>
    </row>
    <row r="27" spans="1:33" x14ac:dyDescent="0.2">
      <c r="AF27" s="10"/>
      <c r="AG27" s="10"/>
    </row>
    <row r="28" spans="1:33" x14ac:dyDescent="0.2">
      <c r="AF28" s="10"/>
      <c r="AG28" s="10"/>
    </row>
    <row r="29" spans="1:33" x14ac:dyDescent="0.2">
      <c r="AF29" s="10"/>
      <c r="AG29" s="10"/>
    </row>
    <row r="30" spans="1:33" x14ac:dyDescent="0.2">
      <c r="AF30" s="10"/>
      <c r="AG30" s="10"/>
    </row>
    <row r="31" spans="1:33" x14ac:dyDescent="0.2">
      <c r="AF31" s="10"/>
      <c r="AG31" s="10"/>
    </row>
    <row r="32" spans="1:33" x14ac:dyDescent="0.2">
      <c r="AF32" s="10"/>
      <c r="AG32" s="10"/>
    </row>
    <row r="33" spans="32:33" x14ac:dyDescent="0.2">
      <c r="AF33" s="10"/>
      <c r="AG33" s="10"/>
    </row>
    <row r="34" spans="32:33" x14ac:dyDescent="0.2">
      <c r="AF34" s="10"/>
      <c r="AG34" s="10"/>
    </row>
    <row r="35" spans="32:33" x14ac:dyDescent="0.2">
      <c r="AF35" s="10"/>
      <c r="AG35" s="10"/>
    </row>
    <row r="36" spans="32:33" x14ac:dyDescent="0.2">
      <c r="AF36" s="10"/>
      <c r="AG36" s="10"/>
    </row>
    <row r="37" spans="32:33" x14ac:dyDescent="0.2">
      <c r="AF37" s="10"/>
      <c r="AG37" s="10"/>
    </row>
    <row r="38" spans="32:33" x14ac:dyDescent="0.2">
      <c r="AF38" s="10"/>
      <c r="AG38" s="10"/>
    </row>
    <row r="39" spans="32:33" x14ac:dyDescent="0.2">
      <c r="AF39" s="10"/>
      <c r="AG39" s="10"/>
    </row>
    <row r="40" spans="32:33" x14ac:dyDescent="0.2">
      <c r="AF40" s="10"/>
      <c r="AG40" s="10"/>
    </row>
    <row r="41" spans="32:33" x14ac:dyDescent="0.2">
      <c r="AF41" s="10"/>
      <c r="AG41" s="10"/>
    </row>
    <row r="42" spans="32:33" x14ac:dyDescent="0.2">
      <c r="AF42" s="10"/>
      <c r="AG42" s="10"/>
    </row>
    <row r="43" spans="32:33" x14ac:dyDescent="0.2">
      <c r="AF43" s="10"/>
      <c r="AG43" s="10"/>
    </row>
    <row r="44" spans="32:33" x14ac:dyDescent="0.2">
      <c r="AF44" s="10"/>
      <c r="AG44" s="10"/>
    </row>
    <row r="45" spans="32:33" x14ac:dyDescent="0.2">
      <c r="AF45" s="10"/>
      <c r="AG45" s="10"/>
    </row>
    <row r="46" spans="32:33" x14ac:dyDescent="0.2">
      <c r="AF46" s="10"/>
      <c r="AG46" s="10"/>
    </row>
    <row r="47" spans="32:33" x14ac:dyDescent="0.2">
      <c r="AF47" s="10"/>
      <c r="AG47" s="10"/>
    </row>
    <row r="48" spans="32:33" x14ac:dyDescent="0.2">
      <c r="AF48" s="10"/>
      <c r="AG48" s="10"/>
    </row>
    <row r="49" spans="32:33" x14ac:dyDescent="0.2">
      <c r="AF49" s="10"/>
      <c r="AG49" s="10"/>
    </row>
    <row r="50" spans="32:33" x14ac:dyDescent="0.2">
      <c r="AF50" s="10"/>
      <c r="AG50" s="10"/>
    </row>
    <row r="51" spans="32:33" x14ac:dyDescent="0.2">
      <c r="AF51" s="10"/>
      <c r="AG51" s="10"/>
    </row>
    <row r="52" spans="32:33" x14ac:dyDescent="0.2">
      <c r="AF52" s="10"/>
      <c r="AG52" s="10"/>
    </row>
    <row r="53" spans="32:33" x14ac:dyDescent="0.2">
      <c r="AF53" s="10"/>
      <c r="AG53" s="10"/>
    </row>
    <row r="54" spans="32:33" x14ac:dyDescent="0.2">
      <c r="AF54" s="10"/>
      <c r="AG54" s="10"/>
    </row>
    <row r="55" spans="32:33" x14ac:dyDescent="0.2">
      <c r="AF55" s="10"/>
      <c r="AG55" s="10"/>
    </row>
    <row r="56" spans="32:33" x14ac:dyDescent="0.2">
      <c r="AF56" s="10"/>
      <c r="AG56" s="10"/>
    </row>
    <row r="57" spans="32:33" x14ac:dyDescent="0.2">
      <c r="AF57" s="10"/>
      <c r="AG57" s="10"/>
    </row>
    <row r="58" spans="32:33" x14ac:dyDescent="0.2">
      <c r="AF58" s="10"/>
      <c r="AG58" s="10"/>
    </row>
    <row r="59" spans="32:33" x14ac:dyDescent="0.2">
      <c r="AF59" s="10"/>
      <c r="AG59" s="10"/>
    </row>
    <row r="60" spans="32:33" x14ac:dyDescent="0.2">
      <c r="AF60" s="10"/>
      <c r="AG60" s="10"/>
    </row>
    <row r="61" spans="32:33" x14ac:dyDescent="0.2">
      <c r="AF61" s="10"/>
      <c r="AG61" s="10"/>
    </row>
    <row r="62" spans="32:33" x14ac:dyDescent="0.2">
      <c r="AF62" s="10"/>
      <c r="AG62" s="10"/>
    </row>
    <row r="63" spans="32:33" x14ac:dyDescent="0.2">
      <c r="AF63" s="10"/>
      <c r="AG63" s="10"/>
    </row>
    <row r="64" spans="32:33" x14ac:dyDescent="0.2">
      <c r="AF64" s="10"/>
      <c r="AG64" s="10"/>
    </row>
    <row r="65" spans="32:33" x14ac:dyDescent="0.2">
      <c r="AF65" s="10"/>
      <c r="AG65" s="10"/>
    </row>
    <row r="66" spans="32:33" x14ac:dyDescent="0.2">
      <c r="AF66" s="10"/>
      <c r="AG66" s="10"/>
    </row>
    <row r="67" spans="32:33" x14ac:dyDescent="0.2">
      <c r="AF67" s="10"/>
      <c r="AG67" s="10"/>
    </row>
    <row r="68" spans="32:33" x14ac:dyDescent="0.2">
      <c r="AF68" s="10"/>
      <c r="AG68" s="10"/>
    </row>
    <row r="69" spans="32:33" x14ac:dyDescent="0.2">
      <c r="AF69" s="10"/>
      <c r="AG69" s="10"/>
    </row>
    <row r="70" spans="32:33" x14ac:dyDescent="0.2">
      <c r="AF70" s="10"/>
      <c r="AG70" s="10"/>
    </row>
    <row r="71" spans="32:33" x14ac:dyDescent="0.2">
      <c r="AF71" s="10"/>
      <c r="AG71" s="10"/>
    </row>
    <row r="72" spans="32:33" x14ac:dyDescent="0.2">
      <c r="AF72" s="10"/>
      <c r="AG72" s="10"/>
    </row>
    <row r="73" spans="32:33" x14ac:dyDescent="0.2">
      <c r="AF73" s="10"/>
      <c r="AG73" s="10"/>
    </row>
    <row r="74" spans="32:33" x14ac:dyDescent="0.2">
      <c r="AF74" s="10"/>
      <c r="AG74" s="10"/>
    </row>
    <row r="75" spans="32:33" x14ac:dyDescent="0.2">
      <c r="AF75" s="10"/>
      <c r="AG75" s="10"/>
    </row>
    <row r="76" spans="32:33" x14ac:dyDescent="0.2">
      <c r="AF76" s="10"/>
      <c r="AG76" s="10"/>
    </row>
    <row r="77" spans="32:33" x14ac:dyDescent="0.2">
      <c r="AF77" s="10"/>
      <c r="AG77" s="10"/>
    </row>
    <row r="78" spans="32:33" x14ac:dyDescent="0.2">
      <c r="AF78" s="10"/>
      <c r="AG78" s="10"/>
    </row>
    <row r="79" spans="32:33" x14ac:dyDescent="0.2">
      <c r="AF79" s="10"/>
      <c r="AG79" s="10"/>
    </row>
    <row r="80" spans="32:33" x14ac:dyDescent="0.2">
      <c r="AF80" s="10"/>
      <c r="AG80" s="10"/>
    </row>
    <row r="81" spans="32:33" x14ac:dyDescent="0.2">
      <c r="AF81" s="10"/>
      <c r="AG81" s="10"/>
    </row>
    <row r="82" spans="32:33" x14ac:dyDescent="0.2">
      <c r="AF82" s="10"/>
      <c r="AG82" s="10"/>
    </row>
    <row r="83" spans="32:33" x14ac:dyDescent="0.2">
      <c r="AF83" s="10"/>
      <c r="AG83" s="10"/>
    </row>
    <row r="84" spans="32:33" x14ac:dyDescent="0.2">
      <c r="AF84" s="10"/>
      <c r="AG84" s="10"/>
    </row>
    <row r="85" spans="32:33" x14ac:dyDescent="0.2">
      <c r="AF85" s="10"/>
      <c r="AG85" s="10"/>
    </row>
    <row r="86" spans="32:33" x14ac:dyDescent="0.2">
      <c r="AF86" s="10"/>
      <c r="AG86" s="10"/>
    </row>
    <row r="87" spans="32:33" x14ac:dyDescent="0.2">
      <c r="AF87" s="10"/>
      <c r="AG87" s="10"/>
    </row>
    <row r="88" spans="32:33" x14ac:dyDescent="0.2">
      <c r="AF88" s="10"/>
      <c r="AG88" s="10"/>
    </row>
    <row r="89" spans="32:33" x14ac:dyDescent="0.2">
      <c r="AF89" s="10"/>
      <c r="AG89" s="10"/>
    </row>
    <row r="90" spans="32:33" x14ac:dyDescent="0.2">
      <c r="AF90" s="10"/>
      <c r="AG90" s="10"/>
    </row>
    <row r="91" spans="32:33" x14ac:dyDescent="0.2">
      <c r="AF91" s="10"/>
      <c r="AG91" s="10"/>
    </row>
    <row r="92" spans="32:33" x14ac:dyDescent="0.2">
      <c r="AF92" s="10"/>
      <c r="AG92" s="10"/>
    </row>
    <row r="93" spans="32:33" x14ac:dyDescent="0.2">
      <c r="AF93" s="10"/>
      <c r="AG93" s="10"/>
    </row>
    <row r="94" spans="32:33" x14ac:dyDescent="0.2">
      <c r="AF94" s="10"/>
      <c r="AG94" s="10"/>
    </row>
    <row r="95" spans="32:33" x14ac:dyDescent="0.2">
      <c r="AF95" s="10"/>
      <c r="AG95" s="10"/>
    </row>
    <row r="96" spans="32:33" x14ac:dyDescent="0.2">
      <c r="AF96" s="10"/>
      <c r="AG96" s="10"/>
    </row>
    <row r="97" spans="32:33" x14ac:dyDescent="0.2">
      <c r="AF97" s="10"/>
      <c r="AG97" s="10"/>
    </row>
    <row r="98" spans="32:33" x14ac:dyDescent="0.2">
      <c r="AF98" s="10"/>
      <c r="AG98" s="10"/>
    </row>
    <row r="99" spans="32:33" x14ac:dyDescent="0.2">
      <c r="AF99" s="10"/>
      <c r="AG99" s="10"/>
    </row>
    <row r="100" spans="32:33" x14ac:dyDescent="0.2">
      <c r="AF100" s="10"/>
      <c r="AG100" s="10"/>
    </row>
    <row r="101" spans="32:33" x14ac:dyDescent="0.2">
      <c r="AF101" s="10"/>
      <c r="AG101" s="10"/>
    </row>
    <row r="102" spans="32:33" x14ac:dyDescent="0.2">
      <c r="AF102" s="10"/>
      <c r="AG102" s="10"/>
    </row>
    <row r="103" spans="32:33" x14ac:dyDescent="0.2">
      <c r="AF103" s="10"/>
      <c r="AG103" s="10"/>
    </row>
    <row r="104" spans="32:33" x14ac:dyDescent="0.2">
      <c r="AF104" s="10"/>
      <c r="AG104" s="10"/>
    </row>
    <row r="105" spans="32:33" x14ac:dyDescent="0.2">
      <c r="AF105" s="10"/>
      <c r="AG105" s="10"/>
    </row>
    <row r="106" spans="32:33" x14ac:dyDescent="0.2">
      <c r="AF106" s="10"/>
      <c r="AG106" s="10"/>
    </row>
    <row r="107" spans="32:33" x14ac:dyDescent="0.2">
      <c r="AF107" s="10"/>
      <c r="AG107" s="10"/>
    </row>
    <row r="108" spans="32:33" x14ac:dyDescent="0.2">
      <c r="AF108" s="10"/>
      <c r="AG108" s="10"/>
    </row>
    <row r="109" spans="32:33" x14ac:dyDescent="0.2">
      <c r="AF109" s="10"/>
      <c r="AG109" s="10"/>
    </row>
    <row r="110" spans="32:33" x14ac:dyDescent="0.2">
      <c r="AF110" s="10"/>
      <c r="AG110" s="10"/>
    </row>
    <row r="111" spans="32:33" x14ac:dyDescent="0.2">
      <c r="AF111" s="10"/>
      <c r="AG111" s="10"/>
    </row>
    <row r="112" spans="32:33" x14ac:dyDescent="0.2">
      <c r="AF112" s="10"/>
      <c r="AG112" s="10"/>
    </row>
    <row r="113" spans="32:33" x14ac:dyDescent="0.2">
      <c r="AF113" s="10"/>
      <c r="AG113" s="10"/>
    </row>
    <row r="114" spans="32:33" x14ac:dyDescent="0.2">
      <c r="AF114" s="10"/>
      <c r="AG114" s="10"/>
    </row>
    <row r="115" spans="32:33" x14ac:dyDescent="0.2">
      <c r="AF115" s="10"/>
      <c r="AG115" s="10"/>
    </row>
    <row r="116" spans="32:33" x14ac:dyDescent="0.2">
      <c r="AF116" s="10"/>
      <c r="AG116" s="10"/>
    </row>
    <row r="117" spans="32:33" x14ac:dyDescent="0.2">
      <c r="AF117" s="10"/>
      <c r="AG117" s="10"/>
    </row>
    <row r="118" spans="32:33" x14ac:dyDescent="0.2">
      <c r="AF118" s="10"/>
      <c r="AG118" s="10"/>
    </row>
    <row r="119" spans="32:33" x14ac:dyDescent="0.2">
      <c r="AF119" s="10"/>
      <c r="AG119" s="10"/>
    </row>
    <row r="120" spans="32:33" x14ac:dyDescent="0.2">
      <c r="AF120" s="10"/>
      <c r="AG120" s="10"/>
    </row>
    <row r="121" spans="32:33" x14ac:dyDescent="0.2">
      <c r="AF121" s="10"/>
      <c r="AG121" s="10"/>
    </row>
    <row r="122" spans="32:33" x14ac:dyDescent="0.2">
      <c r="AF122" s="10"/>
      <c r="AG122" s="10"/>
    </row>
    <row r="123" spans="32:33" x14ac:dyDescent="0.2">
      <c r="AF123" s="10"/>
      <c r="AG123" s="10"/>
    </row>
    <row r="124" spans="32:33" x14ac:dyDescent="0.2">
      <c r="AF124" s="10"/>
      <c r="AG124" s="10"/>
    </row>
    <row r="125" spans="32:33" x14ac:dyDescent="0.2">
      <c r="AF125" s="10"/>
      <c r="AG125" s="10"/>
    </row>
    <row r="126" spans="32:33" x14ac:dyDescent="0.2">
      <c r="AF126" s="10"/>
      <c r="AG126" s="10"/>
    </row>
    <row r="127" spans="32:33" x14ac:dyDescent="0.2">
      <c r="AF127" s="10"/>
      <c r="AG127" s="10"/>
    </row>
    <row r="128" spans="32:33" x14ac:dyDescent="0.2">
      <c r="AF128" s="10"/>
      <c r="AG128" s="10"/>
    </row>
    <row r="129" spans="32:33" x14ac:dyDescent="0.2">
      <c r="AF129" s="10"/>
      <c r="AG129" s="10"/>
    </row>
    <row r="130" spans="32:33" x14ac:dyDescent="0.2">
      <c r="AF130" s="10"/>
      <c r="AG130" s="10"/>
    </row>
    <row r="131" spans="32:33" x14ac:dyDescent="0.2">
      <c r="AF131" s="10"/>
      <c r="AG131" s="10"/>
    </row>
    <row r="132" spans="32:33" x14ac:dyDescent="0.2">
      <c r="AF132" s="10"/>
      <c r="AG132" s="10"/>
    </row>
    <row r="133" spans="32:33" x14ac:dyDescent="0.2">
      <c r="AF133" s="10"/>
      <c r="AG133" s="10"/>
    </row>
    <row r="134" spans="32:33" x14ac:dyDescent="0.2">
      <c r="AF134" s="10"/>
      <c r="AG134" s="10"/>
    </row>
    <row r="135" spans="32:33" x14ac:dyDescent="0.2">
      <c r="AF135" s="10"/>
      <c r="AG135" s="10"/>
    </row>
    <row r="136" spans="32:33" x14ac:dyDescent="0.2">
      <c r="AF136" s="10"/>
      <c r="AG136" s="10"/>
    </row>
    <row r="137" spans="32:33" x14ac:dyDescent="0.2">
      <c r="AF137" s="10"/>
      <c r="AG137" s="10"/>
    </row>
    <row r="138" spans="32:33" x14ac:dyDescent="0.2">
      <c r="AF138" s="10"/>
      <c r="AG138" s="10"/>
    </row>
    <row r="139" spans="32:33" x14ac:dyDescent="0.2">
      <c r="AF139" s="10"/>
      <c r="AG139" s="10"/>
    </row>
    <row r="140" spans="32:33" x14ac:dyDescent="0.2">
      <c r="AF140" s="10"/>
      <c r="AG140" s="10"/>
    </row>
    <row r="141" spans="32:33" x14ac:dyDescent="0.2">
      <c r="AF141" s="10"/>
      <c r="AG141" s="10"/>
    </row>
    <row r="142" spans="32:33" x14ac:dyDescent="0.2">
      <c r="AF142" s="10"/>
      <c r="AG142" s="10"/>
    </row>
    <row r="143" spans="32:33" x14ac:dyDescent="0.2">
      <c r="AF143" s="10"/>
      <c r="AG143" s="10"/>
    </row>
    <row r="144" spans="32:33" x14ac:dyDescent="0.2">
      <c r="AF144" s="10"/>
      <c r="AG144" s="10"/>
    </row>
    <row r="145" spans="32:33" x14ac:dyDescent="0.2">
      <c r="AF145" s="10"/>
      <c r="AG145" s="10"/>
    </row>
    <row r="146" spans="32:33" x14ac:dyDescent="0.2">
      <c r="AF146" s="10"/>
      <c r="AG146" s="10"/>
    </row>
    <row r="147" spans="32:33" x14ac:dyDescent="0.2">
      <c r="AF147" s="10"/>
      <c r="AG147" s="10"/>
    </row>
    <row r="148" spans="32:33" x14ac:dyDescent="0.2">
      <c r="AF148" s="10"/>
      <c r="AG148" s="10"/>
    </row>
    <row r="149" spans="32:33" x14ac:dyDescent="0.2">
      <c r="AF149" s="10"/>
      <c r="AG149" s="10"/>
    </row>
    <row r="150" spans="32:33" x14ac:dyDescent="0.2">
      <c r="AF150" s="10"/>
      <c r="AG150" s="10"/>
    </row>
    <row r="151" spans="32:33" x14ac:dyDescent="0.2">
      <c r="AF151" s="10"/>
      <c r="AG151" s="10"/>
    </row>
    <row r="152" spans="32:33" x14ac:dyDescent="0.2">
      <c r="AF152" s="10"/>
      <c r="AG152" s="10"/>
    </row>
    <row r="153" spans="32:33" x14ac:dyDescent="0.2">
      <c r="AF153" s="10"/>
      <c r="AG153" s="10"/>
    </row>
    <row r="154" spans="32:33" x14ac:dyDescent="0.2">
      <c r="AF154" s="10"/>
      <c r="AG154" s="10"/>
    </row>
    <row r="155" spans="32:33" x14ac:dyDescent="0.2">
      <c r="AF155" s="10"/>
      <c r="AG155" s="10"/>
    </row>
    <row r="156" spans="32:33" x14ac:dyDescent="0.2">
      <c r="AF156" s="10"/>
      <c r="AG156" s="10"/>
    </row>
    <row r="157" spans="32:33" x14ac:dyDescent="0.2">
      <c r="AF157" s="10"/>
      <c r="AG157" s="10"/>
    </row>
    <row r="158" spans="32:33" x14ac:dyDescent="0.2">
      <c r="AF158" s="10"/>
      <c r="AG158" s="10"/>
    </row>
    <row r="159" spans="32:33" x14ac:dyDescent="0.2">
      <c r="AF159" s="10"/>
      <c r="AG159" s="10"/>
    </row>
    <row r="160" spans="32:33" x14ac:dyDescent="0.2">
      <c r="AF160" s="10"/>
      <c r="AG160" s="10"/>
    </row>
    <row r="161" spans="32:33" x14ac:dyDescent="0.2">
      <c r="AF161" s="10"/>
      <c r="AG161" s="10"/>
    </row>
    <row r="162" spans="32:33" x14ac:dyDescent="0.2">
      <c r="AF162" s="10"/>
      <c r="AG162" s="10"/>
    </row>
    <row r="163" spans="32:33" x14ac:dyDescent="0.2">
      <c r="AF163" s="10"/>
      <c r="AG163" s="10"/>
    </row>
    <row r="164" spans="32:33" x14ac:dyDescent="0.2">
      <c r="AF164" s="10"/>
      <c r="AG164" s="10"/>
    </row>
    <row r="165" spans="32:33" x14ac:dyDescent="0.2">
      <c r="AF165" s="10"/>
      <c r="AG165" s="10"/>
    </row>
    <row r="166" spans="32:33" x14ac:dyDescent="0.2">
      <c r="AF166" s="10"/>
      <c r="AG166" s="10"/>
    </row>
    <row r="167" spans="32:33" x14ac:dyDescent="0.2">
      <c r="AF167" s="10"/>
      <c r="AG167" s="10"/>
    </row>
    <row r="168" spans="32:33" x14ac:dyDescent="0.2">
      <c r="AF168" s="10"/>
      <c r="AG168" s="10"/>
    </row>
    <row r="169" spans="32:33" x14ac:dyDescent="0.2">
      <c r="AF169" s="10"/>
      <c r="AG169" s="10"/>
    </row>
    <row r="170" spans="32:33" x14ac:dyDescent="0.2">
      <c r="AF170" s="10"/>
      <c r="AG170" s="10"/>
    </row>
    <row r="171" spans="32:33" x14ac:dyDescent="0.2">
      <c r="AF171" s="10"/>
      <c r="AG171" s="10"/>
    </row>
    <row r="172" spans="32:33" x14ac:dyDescent="0.2">
      <c r="AF172" s="10"/>
      <c r="AG172" s="10"/>
    </row>
    <row r="173" spans="32:33" x14ac:dyDescent="0.2">
      <c r="AF173" s="10"/>
      <c r="AG173" s="10"/>
    </row>
    <row r="174" spans="32:33" x14ac:dyDescent="0.2">
      <c r="AF174" s="10"/>
      <c r="AG174" s="10"/>
    </row>
    <row r="175" spans="32:33" x14ac:dyDescent="0.2">
      <c r="AF175" s="10"/>
      <c r="AG175" s="10"/>
    </row>
    <row r="176" spans="32:33" x14ac:dyDescent="0.2">
      <c r="AF176" s="10"/>
      <c r="AG176" s="10"/>
    </row>
    <row r="177" spans="32:33" x14ac:dyDescent="0.2">
      <c r="AF177" s="10"/>
      <c r="AG177" s="10"/>
    </row>
    <row r="178" spans="32:33" x14ac:dyDescent="0.2">
      <c r="AF178" s="10"/>
      <c r="AG178" s="10"/>
    </row>
    <row r="179" spans="32:33" x14ac:dyDescent="0.2">
      <c r="AF179" s="10"/>
      <c r="AG179" s="10"/>
    </row>
    <row r="180" spans="32:33" x14ac:dyDescent="0.2">
      <c r="AF180" s="10"/>
      <c r="AG180" s="10"/>
    </row>
    <row r="181" spans="32:33" x14ac:dyDescent="0.2">
      <c r="AF181" s="10"/>
      <c r="AG181" s="10"/>
    </row>
    <row r="182" spans="32:33" x14ac:dyDescent="0.2">
      <c r="AF182" s="10"/>
      <c r="AG182" s="10"/>
    </row>
    <row r="183" spans="32:33" x14ac:dyDescent="0.2">
      <c r="AF183" s="10"/>
      <c r="AG183" s="10"/>
    </row>
    <row r="184" spans="32:33" x14ac:dyDescent="0.2">
      <c r="AF184" s="10"/>
      <c r="AG184" s="10"/>
    </row>
    <row r="185" spans="32:33" x14ac:dyDescent="0.2">
      <c r="AF185" s="10"/>
      <c r="AG185" s="10"/>
    </row>
    <row r="186" spans="32:33" x14ac:dyDescent="0.2">
      <c r="AF186" s="10"/>
      <c r="AG186" s="10"/>
    </row>
    <row r="187" spans="32:33" x14ac:dyDescent="0.2">
      <c r="AF187" s="10"/>
      <c r="AG187" s="10"/>
    </row>
    <row r="188" spans="32:33" x14ac:dyDescent="0.2">
      <c r="AF188" s="10"/>
      <c r="AG188" s="10"/>
    </row>
    <row r="189" spans="32:33" x14ac:dyDescent="0.2">
      <c r="AF189" s="10"/>
      <c r="AG189" s="10"/>
    </row>
    <row r="190" spans="32:33" x14ac:dyDescent="0.2">
      <c r="AF190" s="10"/>
      <c r="AG190" s="10"/>
    </row>
    <row r="191" spans="32:33" x14ac:dyDescent="0.2">
      <c r="AF191" s="10"/>
      <c r="AG191" s="10"/>
    </row>
    <row r="192" spans="32:33" x14ac:dyDescent="0.2">
      <c r="AF192" s="10"/>
      <c r="AG192" s="10"/>
    </row>
    <row r="193" spans="32:33" x14ac:dyDescent="0.2">
      <c r="AF193" s="10"/>
      <c r="AG193" s="10"/>
    </row>
    <row r="194" spans="32:33" x14ac:dyDescent="0.2">
      <c r="AF194" s="10"/>
      <c r="AG194" s="10"/>
    </row>
    <row r="195" spans="32:33" x14ac:dyDescent="0.2">
      <c r="AF195" s="10"/>
      <c r="AG195" s="10"/>
    </row>
    <row r="196" spans="32:33" x14ac:dyDescent="0.2">
      <c r="AF196" s="10"/>
      <c r="AG196" s="10"/>
    </row>
    <row r="197" spans="32:33" x14ac:dyDescent="0.2">
      <c r="AF197" s="10"/>
      <c r="AG197" s="10"/>
    </row>
    <row r="198" spans="32:33" x14ac:dyDescent="0.2">
      <c r="AF198" s="10"/>
      <c r="AG198" s="10"/>
    </row>
    <row r="199" spans="32:33" x14ac:dyDescent="0.2">
      <c r="AF199" s="10"/>
      <c r="AG199" s="10"/>
    </row>
    <row r="200" spans="32:33" x14ac:dyDescent="0.2">
      <c r="AF200" s="10"/>
      <c r="AG200" s="10"/>
    </row>
    <row r="201" spans="32:33" x14ac:dyDescent="0.2">
      <c r="AF201" s="10"/>
      <c r="AG201" s="10"/>
    </row>
    <row r="202" spans="32:33" x14ac:dyDescent="0.2">
      <c r="AF202" s="10"/>
      <c r="AG202" s="10"/>
    </row>
    <row r="203" spans="32:33" x14ac:dyDescent="0.2">
      <c r="AF203" s="10"/>
      <c r="AG203" s="10"/>
    </row>
    <row r="204" spans="32:33" x14ac:dyDescent="0.2">
      <c r="AF204" s="10"/>
      <c r="AG204" s="10"/>
    </row>
    <row r="205" spans="32:33" x14ac:dyDescent="0.2">
      <c r="AF205" s="10"/>
      <c r="AG205" s="10"/>
    </row>
    <row r="206" spans="32:33" x14ac:dyDescent="0.2">
      <c r="AF206" s="10"/>
      <c r="AG206" s="10"/>
    </row>
    <row r="207" spans="32:33" x14ac:dyDescent="0.2">
      <c r="AF207" s="10"/>
      <c r="AG207" s="10"/>
    </row>
    <row r="208" spans="32:33" x14ac:dyDescent="0.2">
      <c r="AF208" s="10"/>
      <c r="AG208" s="10"/>
    </row>
    <row r="209" spans="32:33" x14ac:dyDescent="0.2">
      <c r="AF209" s="10"/>
      <c r="AG209" s="10"/>
    </row>
    <row r="210" spans="32:33" x14ac:dyDescent="0.2">
      <c r="AF210" s="10"/>
      <c r="AG210" s="10"/>
    </row>
    <row r="211" spans="32:33" x14ac:dyDescent="0.2">
      <c r="AF211" s="10"/>
      <c r="AG211" s="10"/>
    </row>
    <row r="212" spans="32:33" x14ac:dyDescent="0.2">
      <c r="AF212" s="10"/>
      <c r="AG212" s="10"/>
    </row>
    <row r="213" spans="32:33" x14ac:dyDescent="0.2">
      <c r="AF213" s="10"/>
      <c r="AG213" s="10"/>
    </row>
    <row r="214" spans="32:33" x14ac:dyDescent="0.2">
      <c r="AF214" s="10"/>
      <c r="AG214" s="10"/>
    </row>
    <row r="215" spans="32:33" x14ac:dyDescent="0.2">
      <c r="AF215" s="10"/>
      <c r="AG215" s="10"/>
    </row>
    <row r="216" spans="32:33" x14ac:dyDescent="0.2">
      <c r="AF216" s="10"/>
      <c r="AG216" s="10"/>
    </row>
    <row r="217" spans="32:33" x14ac:dyDescent="0.2">
      <c r="AF217" s="10"/>
      <c r="AG217" s="10"/>
    </row>
    <row r="218" spans="32:33" x14ac:dyDescent="0.2">
      <c r="AF218" s="10"/>
      <c r="AG218" s="10"/>
    </row>
    <row r="219" spans="32:33" x14ac:dyDescent="0.2">
      <c r="AF219" s="10"/>
      <c r="AG219" s="10"/>
    </row>
    <row r="220" spans="32:33" x14ac:dyDescent="0.2">
      <c r="AF220" s="10"/>
      <c r="AG220" s="10"/>
    </row>
    <row r="221" spans="32:33" x14ac:dyDescent="0.2">
      <c r="AF221" s="10"/>
      <c r="AG221" s="10"/>
    </row>
    <row r="222" spans="32:33" x14ac:dyDescent="0.2">
      <c r="AF222" s="10"/>
      <c r="AG222" s="10"/>
    </row>
    <row r="223" spans="32:33" x14ac:dyDescent="0.2">
      <c r="AF223" s="10"/>
      <c r="AG223" s="10"/>
    </row>
    <row r="224" spans="32:33" x14ac:dyDescent="0.2">
      <c r="AF224" s="10"/>
      <c r="AG224" s="10"/>
    </row>
    <row r="225" spans="32:33" x14ac:dyDescent="0.2">
      <c r="AF225" s="10"/>
      <c r="AG225" s="10"/>
    </row>
    <row r="226" spans="32:33" x14ac:dyDescent="0.2">
      <c r="AF226" s="10"/>
      <c r="AG226" s="10"/>
    </row>
    <row r="227" spans="32:33" x14ac:dyDescent="0.2">
      <c r="AF227" s="10"/>
      <c r="AG227" s="10"/>
    </row>
    <row r="228" spans="32:33" x14ac:dyDescent="0.2">
      <c r="AF228" s="10"/>
      <c r="AG228" s="10"/>
    </row>
    <row r="229" spans="32:33" x14ac:dyDescent="0.2">
      <c r="AF229" s="10"/>
      <c r="AG229" s="10"/>
    </row>
    <row r="230" spans="32:33" x14ac:dyDescent="0.2">
      <c r="AF230" s="10"/>
      <c r="AG230" s="10"/>
    </row>
    <row r="231" spans="32:33" x14ac:dyDescent="0.2">
      <c r="AF231" s="10"/>
      <c r="AG231" s="10"/>
    </row>
    <row r="232" spans="32:33" x14ac:dyDescent="0.2">
      <c r="AF232" s="10"/>
      <c r="AG232" s="10"/>
    </row>
    <row r="233" spans="32:33" x14ac:dyDescent="0.2">
      <c r="AF233" s="10"/>
      <c r="AG233" s="10"/>
    </row>
    <row r="234" spans="32:33" x14ac:dyDescent="0.2">
      <c r="AF234" s="10"/>
      <c r="AG234" s="10"/>
    </row>
    <row r="235" spans="32:33" x14ac:dyDescent="0.2">
      <c r="AF235" s="10"/>
      <c r="AG235" s="10"/>
    </row>
    <row r="236" spans="32:33" x14ac:dyDescent="0.2">
      <c r="AF236" s="10"/>
      <c r="AG236" s="10"/>
    </row>
    <row r="237" spans="32:33" x14ac:dyDescent="0.2">
      <c r="AF237" s="10"/>
      <c r="AG237" s="10"/>
    </row>
    <row r="238" spans="32:33" x14ac:dyDescent="0.2">
      <c r="AF238" s="10"/>
      <c r="AG238" s="10"/>
    </row>
    <row r="239" spans="32:33" x14ac:dyDescent="0.2">
      <c r="AF239" s="10"/>
      <c r="AG239" s="10"/>
    </row>
    <row r="240" spans="32:33" x14ac:dyDescent="0.2">
      <c r="AF240" s="10"/>
      <c r="AG240" s="10"/>
    </row>
    <row r="241" spans="32:33" x14ac:dyDescent="0.2">
      <c r="AF241" s="10"/>
      <c r="AG241" s="10"/>
    </row>
    <row r="242" spans="32:33" x14ac:dyDescent="0.2">
      <c r="AF242" s="10"/>
      <c r="AG242" s="10"/>
    </row>
    <row r="243" spans="32:33" x14ac:dyDescent="0.2">
      <c r="AF243" s="10"/>
      <c r="AG243" s="10"/>
    </row>
    <row r="244" spans="32:33" x14ac:dyDescent="0.2">
      <c r="AF244" s="10"/>
      <c r="AG244" s="10"/>
    </row>
    <row r="245" spans="32:33" x14ac:dyDescent="0.2">
      <c r="AF245" s="10"/>
      <c r="AG245" s="10"/>
    </row>
    <row r="246" spans="32:33" x14ac:dyDescent="0.2">
      <c r="AF246" s="10"/>
      <c r="AG246" s="10"/>
    </row>
    <row r="247" spans="32:33" x14ac:dyDescent="0.2">
      <c r="AF247" s="10"/>
      <c r="AG247" s="10"/>
    </row>
    <row r="248" spans="32:33" x14ac:dyDescent="0.2">
      <c r="AF248" s="10"/>
      <c r="AG248" s="10"/>
    </row>
    <row r="249" spans="32:33" x14ac:dyDescent="0.2">
      <c r="AF249" s="10"/>
      <c r="AG249" s="10"/>
    </row>
    <row r="250" spans="32:33" x14ac:dyDescent="0.2">
      <c r="AF250" s="10"/>
      <c r="AG250" s="10"/>
    </row>
    <row r="251" spans="32:33" x14ac:dyDescent="0.2">
      <c r="AF251" s="10"/>
      <c r="AG251" s="10"/>
    </row>
    <row r="252" spans="32:33" x14ac:dyDescent="0.2">
      <c r="AF252" s="10"/>
      <c r="AG252" s="10"/>
    </row>
    <row r="253" spans="32:33" x14ac:dyDescent="0.2">
      <c r="AF253" s="10"/>
      <c r="AG253" s="10"/>
    </row>
    <row r="254" spans="32:33" x14ac:dyDescent="0.2">
      <c r="AF254" s="10"/>
      <c r="AG254" s="10"/>
    </row>
    <row r="255" spans="32:33" x14ac:dyDescent="0.2">
      <c r="AF255" s="10"/>
      <c r="AG255" s="10"/>
    </row>
    <row r="256" spans="32:33" x14ac:dyDescent="0.2">
      <c r="AF256" s="10"/>
      <c r="AG256" s="10"/>
    </row>
    <row r="257" spans="32:33" x14ac:dyDescent="0.2">
      <c r="AF257" s="10"/>
      <c r="AG257" s="10"/>
    </row>
    <row r="258" spans="32:33" x14ac:dyDescent="0.2">
      <c r="AF258" s="10"/>
      <c r="AG258" s="10"/>
    </row>
    <row r="259" spans="32:33" x14ac:dyDescent="0.2">
      <c r="AF259" s="10"/>
      <c r="AG259" s="10"/>
    </row>
    <row r="260" spans="32:33" x14ac:dyDescent="0.2">
      <c r="AF260" s="10"/>
      <c r="AG260" s="10"/>
    </row>
    <row r="261" spans="32:33" x14ac:dyDescent="0.2">
      <c r="AF261" s="10"/>
      <c r="AG261" s="10"/>
    </row>
    <row r="262" spans="32:33" x14ac:dyDescent="0.2">
      <c r="AF262" s="10"/>
      <c r="AG262" s="10"/>
    </row>
    <row r="263" spans="32:33" x14ac:dyDescent="0.2">
      <c r="AF263" s="10"/>
      <c r="AG263" s="10"/>
    </row>
    <row r="264" spans="32:33" x14ac:dyDescent="0.2">
      <c r="AF264" s="10"/>
      <c r="AG264" s="10"/>
    </row>
    <row r="265" spans="32:33" x14ac:dyDescent="0.2">
      <c r="AF265" s="10"/>
      <c r="AG265" s="10"/>
    </row>
    <row r="266" spans="32:33" x14ac:dyDescent="0.2">
      <c r="AF266" s="10"/>
      <c r="AG266" s="10"/>
    </row>
    <row r="267" spans="32:33" x14ac:dyDescent="0.2">
      <c r="AF267" s="10"/>
      <c r="AG267" s="10"/>
    </row>
    <row r="268" spans="32:33" x14ac:dyDescent="0.2">
      <c r="AF268" s="10"/>
      <c r="AG268" s="10"/>
    </row>
    <row r="269" spans="32:33" x14ac:dyDescent="0.2">
      <c r="AF269" s="10"/>
      <c r="AG269" s="10"/>
    </row>
    <row r="270" spans="32:33" x14ac:dyDescent="0.2">
      <c r="AF270" s="10"/>
      <c r="AG270" s="10"/>
    </row>
    <row r="271" spans="32:33" x14ac:dyDescent="0.2">
      <c r="AF271" s="10"/>
      <c r="AG271" s="10"/>
    </row>
    <row r="272" spans="32:33" x14ac:dyDescent="0.2">
      <c r="AF272" s="10"/>
      <c r="AG272" s="10"/>
    </row>
    <row r="273" spans="32:33" x14ac:dyDescent="0.2">
      <c r="AF273" s="10"/>
      <c r="AG273" s="10"/>
    </row>
    <row r="274" spans="32:33" x14ac:dyDescent="0.2">
      <c r="AF274" s="10"/>
      <c r="AG274" s="10"/>
    </row>
    <row r="275" spans="32:33" x14ac:dyDescent="0.2">
      <c r="AF275" s="10"/>
      <c r="AG275" s="10"/>
    </row>
    <row r="276" spans="32:33" x14ac:dyDescent="0.2">
      <c r="AF276" s="10"/>
      <c r="AG276" s="10"/>
    </row>
    <row r="277" spans="32:33" x14ac:dyDescent="0.2">
      <c r="AF277" s="10"/>
      <c r="AG277" s="10"/>
    </row>
    <row r="278" spans="32:33" x14ac:dyDescent="0.2">
      <c r="AF278" s="10"/>
      <c r="AG278" s="10"/>
    </row>
    <row r="279" spans="32:33" x14ac:dyDescent="0.2">
      <c r="AF279" s="10"/>
      <c r="AG279" s="10"/>
    </row>
    <row r="280" spans="32:33" x14ac:dyDescent="0.2">
      <c r="AF280" s="10"/>
      <c r="AG280" s="10"/>
    </row>
    <row r="281" spans="32:33" x14ac:dyDescent="0.2">
      <c r="AF281" s="10"/>
      <c r="AG281" s="10"/>
    </row>
    <row r="282" spans="32:33" x14ac:dyDescent="0.2">
      <c r="AF282" s="10"/>
      <c r="AG282" s="10"/>
    </row>
    <row r="283" spans="32:33" x14ac:dyDescent="0.2">
      <c r="AF283" s="10"/>
      <c r="AG283" s="10"/>
    </row>
    <row r="284" spans="32:33" x14ac:dyDescent="0.2">
      <c r="AF284" s="10"/>
      <c r="AG284" s="10"/>
    </row>
    <row r="285" spans="32:33" x14ac:dyDescent="0.2">
      <c r="AF285" s="10"/>
      <c r="AG285" s="10"/>
    </row>
    <row r="286" spans="32:33" x14ac:dyDescent="0.2">
      <c r="AF286" s="10"/>
      <c r="AG286" s="10"/>
    </row>
    <row r="287" spans="32:33" x14ac:dyDescent="0.2">
      <c r="AF287" s="10"/>
      <c r="AG287" s="10"/>
    </row>
    <row r="288" spans="32:33" x14ac:dyDescent="0.2">
      <c r="AF288" s="10"/>
      <c r="AG288" s="10"/>
    </row>
    <row r="289" spans="32:33" x14ac:dyDescent="0.2">
      <c r="AF289" s="10"/>
      <c r="AG289" s="10"/>
    </row>
    <row r="290" spans="32:33" x14ac:dyDescent="0.2">
      <c r="AF290" s="10"/>
      <c r="AG290" s="10"/>
    </row>
    <row r="291" spans="32:33" x14ac:dyDescent="0.2">
      <c r="AF291" s="10"/>
      <c r="AG291" s="10"/>
    </row>
    <row r="292" spans="32:33" x14ac:dyDescent="0.2">
      <c r="AF292" s="10"/>
      <c r="AG292" s="10"/>
    </row>
    <row r="293" spans="32:33" x14ac:dyDescent="0.2">
      <c r="AF293" s="10"/>
      <c r="AG293" s="10"/>
    </row>
    <row r="294" spans="32:33" x14ac:dyDescent="0.2">
      <c r="AF294" s="10"/>
      <c r="AG294" s="10"/>
    </row>
    <row r="295" spans="32:33" x14ac:dyDescent="0.2">
      <c r="AF295" s="10"/>
      <c r="AG295" s="10"/>
    </row>
    <row r="296" spans="32:33" x14ac:dyDescent="0.2">
      <c r="AF296" s="10"/>
      <c r="AG296" s="10"/>
    </row>
    <row r="297" spans="32:33" x14ac:dyDescent="0.2">
      <c r="AF297" s="10"/>
      <c r="AG297" s="10"/>
    </row>
    <row r="298" spans="32:33" x14ac:dyDescent="0.2">
      <c r="AF298" s="10"/>
      <c r="AG298" s="10"/>
    </row>
    <row r="299" spans="32:33" x14ac:dyDescent="0.2">
      <c r="AF299" s="10"/>
      <c r="AG299" s="10"/>
    </row>
    <row r="300" spans="32:33" x14ac:dyDescent="0.2">
      <c r="AF300" s="10"/>
      <c r="AG300" s="10"/>
    </row>
    <row r="301" spans="32:33" x14ac:dyDescent="0.2">
      <c r="AF301" s="10"/>
      <c r="AG301" s="10"/>
    </row>
    <row r="302" spans="32:33" x14ac:dyDescent="0.2">
      <c r="AF302" s="10"/>
      <c r="AG302" s="10"/>
    </row>
    <row r="303" spans="32:33" x14ac:dyDescent="0.2">
      <c r="AF303" s="10"/>
      <c r="AG303" s="10"/>
    </row>
    <row r="304" spans="32:33" x14ac:dyDescent="0.2">
      <c r="AF304" s="10"/>
      <c r="AG304" s="10"/>
    </row>
    <row r="305" spans="32:33" x14ac:dyDescent="0.2">
      <c r="AF305" s="10"/>
      <c r="AG305" s="10"/>
    </row>
    <row r="306" spans="32:33" x14ac:dyDescent="0.2">
      <c r="AF306" s="10"/>
      <c r="AG306" s="10"/>
    </row>
    <row r="307" spans="32:33" x14ac:dyDescent="0.2">
      <c r="AF307" s="10"/>
      <c r="AG307" s="10"/>
    </row>
    <row r="308" spans="32:33" x14ac:dyDescent="0.2">
      <c r="AF308" s="10"/>
      <c r="AG308" s="10"/>
    </row>
    <row r="309" spans="32:33" x14ac:dyDescent="0.2">
      <c r="AF309" s="10"/>
      <c r="AG309" s="10"/>
    </row>
    <row r="310" spans="32:33" x14ac:dyDescent="0.2">
      <c r="AF310" s="10"/>
      <c r="AG310" s="10"/>
    </row>
    <row r="311" spans="32:33" x14ac:dyDescent="0.2">
      <c r="AF311" s="10"/>
      <c r="AG311" s="10"/>
    </row>
    <row r="312" spans="32:33" x14ac:dyDescent="0.2">
      <c r="AF312" s="10"/>
      <c r="AG312" s="10"/>
    </row>
    <row r="313" spans="32:33" x14ac:dyDescent="0.2">
      <c r="AF313" s="10"/>
      <c r="AG313" s="10"/>
    </row>
    <row r="314" spans="32:33" x14ac:dyDescent="0.2">
      <c r="AF314" s="10"/>
      <c r="AG314" s="10"/>
    </row>
    <row r="315" spans="32:33" x14ac:dyDescent="0.2">
      <c r="AF315" s="10"/>
      <c r="AG315" s="10"/>
    </row>
    <row r="316" spans="32:33" x14ac:dyDescent="0.2">
      <c r="AF316" s="10"/>
      <c r="AG316" s="10"/>
    </row>
    <row r="317" spans="32:33" x14ac:dyDescent="0.2">
      <c r="AF317" s="10"/>
      <c r="AG317" s="10"/>
    </row>
    <row r="318" spans="32:33" x14ac:dyDescent="0.2">
      <c r="AF318" s="10"/>
      <c r="AG318" s="10"/>
    </row>
    <row r="319" spans="32:33" x14ac:dyDescent="0.2">
      <c r="AF319" s="10"/>
      <c r="AG319" s="10"/>
    </row>
    <row r="320" spans="32:33" x14ac:dyDescent="0.2">
      <c r="AF320" s="10"/>
      <c r="AG320" s="10"/>
    </row>
    <row r="321" spans="32:33" x14ac:dyDescent="0.2">
      <c r="AF321" s="10"/>
      <c r="AG321" s="10"/>
    </row>
    <row r="322" spans="32:33" x14ac:dyDescent="0.2">
      <c r="AF322" s="10"/>
      <c r="AG322" s="10"/>
    </row>
    <row r="323" spans="32:33" x14ac:dyDescent="0.2">
      <c r="AF323" s="10"/>
      <c r="AG323" s="10"/>
    </row>
    <row r="324" spans="32:33" x14ac:dyDescent="0.2">
      <c r="AF324" s="10"/>
      <c r="AG324" s="10"/>
    </row>
    <row r="325" spans="32:33" x14ac:dyDescent="0.2">
      <c r="AF325" s="10"/>
      <c r="AG325" s="10"/>
    </row>
    <row r="326" spans="32:33" x14ac:dyDescent="0.2">
      <c r="AF326" s="10"/>
      <c r="AG326" s="10"/>
    </row>
    <row r="327" spans="32:33" x14ac:dyDescent="0.2">
      <c r="AF327" s="10"/>
      <c r="AG327" s="10"/>
    </row>
    <row r="328" spans="32:33" x14ac:dyDescent="0.2">
      <c r="AF328" s="10"/>
      <c r="AG328" s="10"/>
    </row>
    <row r="329" spans="32:33" x14ac:dyDescent="0.2">
      <c r="AF329" s="10"/>
      <c r="AG329" s="10"/>
    </row>
    <row r="330" spans="32:33" x14ac:dyDescent="0.2">
      <c r="AF330" s="10"/>
      <c r="AG330" s="10"/>
    </row>
    <row r="331" spans="32:33" x14ac:dyDescent="0.2">
      <c r="AF331" s="10"/>
      <c r="AG331" s="10"/>
    </row>
    <row r="332" spans="32:33" x14ac:dyDescent="0.2">
      <c r="AF332" s="10"/>
      <c r="AG332" s="10"/>
    </row>
    <row r="333" spans="32:33" x14ac:dyDescent="0.2">
      <c r="AF333" s="10"/>
      <c r="AG333" s="10"/>
    </row>
    <row r="334" spans="32:33" x14ac:dyDescent="0.2">
      <c r="AF334" s="10"/>
      <c r="AG334" s="10"/>
    </row>
    <row r="335" spans="32:33" x14ac:dyDescent="0.2">
      <c r="AF335" s="10"/>
      <c r="AG335" s="10"/>
    </row>
    <row r="336" spans="32:33" x14ac:dyDescent="0.2">
      <c r="AF336" s="10"/>
      <c r="AG336" s="10"/>
    </row>
    <row r="337" spans="32:33" x14ac:dyDescent="0.2">
      <c r="AF337" s="10"/>
      <c r="AG337" s="10"/>
    </row>
    <row r="338" spans="32:33" x14ac:dyDescent="0.2">
      <c r="AF338" s="10"/>
      <c r="AG338" s="10"/>
    </row>
    <row r="339" spans="32:33" x14ac:dyDescent="0.2">
      <c r="AF339" s="10"/>
      <c r="AG339" s="10"/>
    </row>
    <row r="340" spans="32:33" x14ac:dyDescent="0.2">
      <c r="AF340" s="10"/>
      <c r="AG340" s="10"/>
    </row>
    <row r="341" spans="32:33" x14ac:dyDescent="0.2">
      <c r="AF341" s="10"/>
      <c r="AG341" s="10"/>
    </row>
    <row r="342" spans="32:33" x14ac:dyDescent="0.2">
      <c r="AF342" s="10"/>
      <c r="AG342" s="10"/>
    </row>
    <row r="343" spans="32:33" x14ac:dyDescent="0.2">
      <c r="AF343" s="10"/>
      <c r="AG343" s="10"/>
    </row>
    <row r="344" spans="32:33" x14ac:dyDescent="0.2">
      <c r="AF344" s="10"/>
      <c r="AG344" s="10"/>
    </row>
    <row r="345" spans="32:33" x14ac:dyDescent="0.2">
      <c r="AF345" s="10"/>
      <c r="AG345" s="10"/>
    </row>
    <row r="346" spans="32:33" x14ac:dyDescent="0.2">
      <c r="AF346" s="10"/>
      <c r="AG346" s="10"/>
    </row>
    <row r="347" spans="32:33" x14ac:dyDescent="0.2">
      <c r="AF347" s="10"/>
      <c r="AG347" s="10"/>
    </row>
    <row r="348" spans="32:33" x14ac:dyDescent="0.2">
      <c r="AF348" s="10"/>
      <c r="AG348" s="10"/>
    </row>
    <row r="349" spans="32:33" x14ac:dyDescent="0.2">
      <c r="AF349" s="10"/>
      <c r="AG349" s="10"/>
    </row>
    <row r="350" spans="32:33" x14ac:dyDescent="0.2">
      <c r="AF350" s="10"/>
      <c r="AG350" s="10"/>
    </row>
    <row r="351" spans="32:33" x14ac:dyDescent="0.2">
      <c r="AF351" s="10"/>
      <c r="AG351" s="10"/>
    </row>
    <row r="352" spans="32:33" x14ac:dyDescent="0.2">
      <c r="AF352" s="10"/>
      <c r="AG352" s="10"/>
    </row>
    <row r="353" spans="32:33" x14ac:dyDescent="0.2">
      <c r="AF353" s="10"/>
      <c r="AG353" s="10"/>
    </row>
    <row r="354" spans="32:33" x14ac:dyDescent="0.2">
      <c r="AF354" s="10"/>
      <c r="AG354" s="10"/>
    </row>
    <row r="355" spans="32:33" x14ac:dyDescent="0.2">
      <c r="AF355" s="10"/>
      <c r="AG355" s="10"/>
    </row>
    <row r="356" spans="32:33" x14ac:dyDescent="0.2">
      <c r="AF356" s="10"/>
      <c r="AG356" s="10"/>
    </row>
    <row r="357" spans="32:33" x14ac:dyDescent="0.2">
      <c r="AF357" s="10"/>
      <c r="AG357" s="10"/>
    </row>
    <row r="358" spans="32:33" x14ac:dyDescent="0.2">
      <c r="AF358" s="10"/>
      <c r="AG358" s="10"/>
    </row>
    <row r="359" spans="32:33" x14ac:dyDescent="0.2">
      <c r="AF359" s="10"/>
      <c r="AG359" s="10"/>
    </row>
    <row r="360" spans="32:33" x14ac:dyDescent="0.2">
      <c r="AF360" s="10"/>
      <c r="AG360" s="10"/>
    </row>
    <row r="361" spans="32:33" x14ac:dyDescent="0.2">
      <c r="AF361" s="10"/>
      <c r="AG361" s="10"/>
    </row>
    <row r="362" spans="32:33" x14ac:dyDescent="0.2">
      <c r="AF362" s="10"/>
      <c r="AG362" s="10"/>
    </row>
    <row r="363" spans="32:33" x14ac:dyDescent="0.2">
      <c r="AF363" s="10"/>
      <c r="AG363" s="10"/>
    </row>
    <row r="364" spans="32:33" x14ac:dyDescent="0.2">
      <c r="AF364" s="10"/>
      <c r="AG364" s="10"/>
    </row>
    <row r="365" spans="32:33" x14ac:dyDescent="0.2">
      <c r="AF365" s="10"/>
      <c r="AG365" s="10"/>
    </row>
    <row r="366" spans="32:33" x14ac:dyDescent="0.2">
      <c r="AF366" s="10"/>
      <c r="AG366" s="10"/>
    </row>
    <row r="367" spans="32:33" x14ac:dyDescent="0.2">
      <c r="AF367" s="10"/>
      <c r="AG367" s="10"/>
    </row>
    <row r="368" spans="32:33" x14ac:dyDescent="0.2">
      <c r="AF368" s="10"/>
      <c r="AG368" s="10"/>
    </row>
    <row r="369" spans="32:33" x14ac:dyDescent="0.2">
      <c r="AF369" s="10"/>
      <c r="AG369" s="10"/>
    </row>
    <row r="370" spans="32:33" x14ac:dyDescent="0.2">
      <c r="AF370" s="10"/>
      <c r="AG370" s="10"/>
    </row>
    <row r="371" spans="32:33" x14ac:dyDescent="0.2">
      <c r="AF371" s="10"/>
      <c r="AG371" s="10"/>
    </row>
    <row r="372" spans="32:33" x14ac:dyDescent="0.2">
      <c r="AF372" s="10"/>
      <c r="AG372" s="10"/>
    </row>
    <row r="373" spans="32:33" x14ac:dyDescent="0.2">
      <c r="AF373" s="10"/>
      <c r="AG373" s="10"/>
    </row>
    <row r="374" spans="32:33" x14ac:dyDescent="0.2">
      <c r="AF374" s="10"/>
      <c r="AG374" s="10"/>
    </row>
    <row r="375" spans="32:33" x14ac:dyDescent="0.2">
      <c r="AF375" s="10"/>
      <c r="AG375" s="10"/>
    </row>
    <row r="376" spans="32:33" x14ac:dyDescent="0.2">
      <c r="AF376" s="10"/>
      <c r="AG376" s="10"/>
    </row>
    <row r="377" spans="32:33" x14ac:dyDescent="0.2">
      <c r="AF377" s="10"/>
      <c r="AG377" s="10"/>
    </row>
    <row r="378" spans="32:33" x14ac:dyDescent="0.2">
      <c r="AF378" s="10"/>
      <c r="AG378" s="10"/>
    </row>
    <row r="379" spans="32:33" x14ac:dyDescent="0.2">
      <c r="AF379" s="10"/>
      <c r="AG379" s="10"/>
    </row>
    <row r="380" spans="32:33" x14ac:dyDescent="0.2">
      <c r="AF380" s="10"/>
      <c r="AG380" s="10"/>
    </row>
    <row r="381" spans="32:33" x14ac:dyDescent="0.2">
      <c r="AF381" s="10"/>
      <c r="AG381" s="10"/>
    </row>
    <row r="382" spans="32:33" x14ac:dyDescent="0.2">
      <c r="AF382" s="10"/>
      <c r="AG382" s="10"/>
    </row>
    <row r="383" spans="32:33" x14ac:dyDescent="0.2">
      <c r="AF383" s="10"/>
      <c r="AG383" s="10"/>
    </row>
    <row r="384" spans="32:33" x14ac:dyDescent="0.2">
      <c r="AF384" s="10"/>
      <c r="AG384" s="10"/>
    </row>
    <row r="385" spans="32:33" x14ac:dyDescent="0.2">
      <c r="AF385" s="10"/>
      <c r="AG385" s="10"/>
    </row>
    <row r="386" spans="32:33" x14ac:dyDescent="0.2">
      <c r="AF386" s="10"/>
      <c r="AG386" s="10"/>
    </row>
    <row r="387" spans="32:33" x14ac:dyDescent="0.2">
      <c r="AF387" s="10"/>
      <c r="AG387" s="10"/>
    </row>
    <row r="388" spans="32:33" x14ac:dyDescent="0.2">
      <c r="AF388" s="10"/>
      <c r="AG388" s="10"/>
    </row>
    <row r="389" spans="32:33" x14ac:dyDescent="0.2">
      <c r="AF389" s="10"/>
      <c r="AG389" s="10"/>
    </row>
    <row r="390" spans="32:33" x14ac:dyDescent="0.2">
      <c r="AF390" s="10"/>
      <c r="AG390" s="10"/>
    </row>
    <row r="391" spans="32:33" x14ac:dyDescent="0.2">
      <c r="AF391" s="10"/>
      <c r="AG391" s="10"/>
    </row>
    <row r="392" spans="32:33" x14ac:dyDescent="0.2">
      <c r="AF392" s="10"/>
      <c r="AG392" s="10"/>
    </row>
    <row r="393" spans="32:33" x14ac:dyDescent="0.2">
      <c r="AF393" s="10"/>
      <c r="AG393" s="10"/>
    </row>
    <row r="394" spans="32:33" x14ac:dyDescent="0.2">
      <c r="AF394" s="10"/>
      <c r="AG394" s="10"/>
    </row>
    <row r="395" spans="32:33" x14ac:dyDescent="0.2">
      <c r="AF395" s="10"/>
      <c r="AG395" s="10"/>
    </row>
    <row r="396" spans="32:33" x14ac:dyDescent="0.2">
      <c r="AF396" s="10"/>
      <c r="AG396" s="10"/>
    </row>
    <row r="397" spans="32:33" x14ac:dyDescent="0.2">
      <c r="AF397" s="10"/>
      <c r="AG397" s="10"/>
    </row>
    <row r="398" spans="32:33" x14ac:dyDescent="0.2">
      <c r="AF398" s="10"/>
      <c r="AG398" s="10"/>
    </row>
    <row r="399" spans="32:33" x14ac:dyDescent="0.2">
      <c r="AF399" s="10"/>
      <c r="AG399" s="10"/>
    </row>
    <row r="400" spans="32:33" x14ac:dyDescent="0.2">
      <c r="AF400" s="10"/>
      <c r="AG400" s="10"/>
    </row>
    <row r="401" spans="32:33" x14ac:dyDescent="0.2">
      <c r="AF401" s="10"/>
      <c r="AG401" s="10"/>
    </row>
    <row r="402" spans="32:33" x14ac:dyDescent="0.2">
      <c r="AF402" s="10"/>
      <c r="AG402" s="10"/>
    </row>
    <row r="403" spans="32:33" x14ac:dyDescent="0.2">
      <c r="AF403" s="10"/>
      <c r="AG403" s="10"/>
    </row>
    <row r="404" spans="32:33" x14ac:dyDescent="0.2">
      <c r="AF404" s="10"/>
      <c r="AG404" s="10"/>
    </row>
    <row r="405" spans="32:33" x14ac:dyDescent="0.2">
      <c r="AF405" s="10"/>
      <c r="AG405" s="10"/>
    </row>
    <row r="406" spans="32:33" x14ac:dyDescent="0.2">
      <c r="AF406" s="10"/>
      <c r="AG406" s="10"/>
    </row>
    <row r="407" spans="32:33" x14ac:dyDescent="0.2">
      <c r="AF407" s="10"/>
      <c r="AG407" s="10"/>
    </row>
    <row r="408" spans="32:33" x14ac:dyDescent="0.2">
      <c r="AF408" s="10"/>
      <c r="AG408" s="10"/>
    </row>
    <row r="409" spans="32:33" x14ac:dyDescent="0.2">
      <c r="AF409" s="10"/>
      <c r="AG409" s="10"/>
    </row>
    <row r="410" spans="32:33" x14ac:dyDescent="0.2">
      <c r="AF410" s="10"/>
      <c r="AG410" s="10"/>
    </row>
    <row r="411" spans="32:33" x14ac:dyDescent="0.2">
      <c r="AF411" s="10"/>
      <c r="AG411" s="10"/>
    </row>
    <row r="412" spans="32:33" x14ac:dyDescent="0.2">
      <c r="AF412" s="10"/>
      <c r="AG412" s="10"/>
    </row>
    <row r="413" spans="32:33" x14ac:dyDescent="0.2">
      <c r="AF413" s="10"/>
      <c r="AG413" s="10"/>
    </row>
    <row r="414" spans="32:33" x14ac:dyDescent="0.2">
      <c r="AF414" s="10"/>
      <c r="AG414" s="10"/>
    </row>
    <row r="415" spans="32:33" x14ac:dyDescent="0.2">
      <c r="AF415" s="10"/>
      <c r="AG415" s="10"/>
    </row>
    <row r="416" spans="32:33" x14ac:dyDescent="0.2">
      <c r="AF416" s="10"/>
      <c r="AG416" s="10"/>
    </row>
    <row r="417" spans="32:33" x14ac:dyDescent="0.2">
      <c r="AF417" s="10"/>
      <c r="AG417" s="10"/>
    </row>
    <row r="418" spans="32:33" x14ac:dyDescent="0.2">
      <c r="AF418" s="10"/>
      <c r="AG418" s="10"/>
    </row>
    <row r="419" spans="32:33" x14ac:dyDescent="0.2">
      <c r="AF419" s="10"/>
      <c r="AG419" s="10"/>
    </row>
    <row r="420" spans="32:33" x14ac:dyDescent="0.2">
      <c r="AF420" s="10"/>
      <c r="AG420" s="10"/>
    </row>
    <row r="421" spans="32:33" x14ac:dyDescent="0.2">
      <c r="AF421" s="10"/>
      <c r="AG421" s="10"/>
    </row>
    <row r="422" spans="32:33" x14ac:dyDescent="0.2">
      <c r="AF422" s="10"/>
      <c r="AG422" s="10"/>
    </row>
    <row r="423" spans="32:33" x14ac:dyDescent="0.2">
      <c r="AF423" s="10"/>
      <c r="AG423" s="10"/>
    </row>
    <row r="424" spans="32:33" x14ac:dyDescent="0.2">
      <c r="AF424" s="10"/>
      <c r="AG424" s="10"/>
    </row>
    <row r="425" spans="32:33" x14ac:dyDescent="0.2">
      <c r="AF425" s="10"/>
      <c r="AG425" s="10"/>
    </row>
    <row r="426" spans="32:33" x14ac:dyDescent="0.2">
      <c r="AF426" s="10"/>
      <c r="AG426" s="10"/>
    </row>
    <row r="427" spans="32:33" x14ac:dyDescent="0.2">
      <c r="AF427" s="10"/>
      <c r="AG427" s="10"/>
    </row>
    <row r="428" spans="32:33" x14ac:dyDescent="0.2">
      <c r="AF428" s="10"/>
      <c r="AG428" s="10"/>
    </row>
    <row r="429" spans="32:33" x14ac:dyDescent="0.2">
      <c r="AF429" s="10"/>
      <c r="AG429" s="10"/>
    </row>
    <row r="430" spans="32:33" x14ac:dyDescent="0.2">
      <c r="AF430" s="10"/>
      <c r="AG430" s="10"/>
    </row>
    <row r="431" spans="32:33" x14ac:dyDescent="0.2">
      <c r="AF431" s="10"/>
      <c r="AG431" s="10"/>
    </row>
    <row r="432" spans="32:33" x14ac:dyDescent="0.2">
      <c r="AF432" s="10"/>
      <c r="AG432" s="10"/>
    </row>
    <row r="433" spans="32:33" x14ac:dyDescent="0.2">
      <c r="AF433" s="10"/>
      <c r="AG433" s="10"/>
    </row>
    <row r="434" spans="32:33" x14ac:dyDescent="0.2">
      <c r="AF434" s="10"/>
      <c r="AG434" s="10"/>
    </row>
    <row r="435" spans="32:33" x14ac:dyDescent="0.2">
      <c r="AF435" s="10"/>
      <c r="AG435" s="10"/>
    </row>
    <row r="436" spans="32:33" x14ac:dyDescent="0.2">
      <c r="AF436" s="10"/>
      <c r="AG436" s="10"/>
    </row>
    <row r="437" spans="32:33" x14ac:dyDescent="0.2">
      <c r="AF437" s="10"/>
      <c r="AG437" s="10"/>
    </row>
    <row r="438" spans="32:33" x14ac:dyDescent="0.2">
      <c r="AF438" s="10"/>
      <c r="AG438" s="10"/>
    </row>
    <row r="439" spans="32:33" x14ac:dyDescent="0.2">
      <c r="AF439" s="10"/>
      <c r="AG439" s="10"/>
    </row>
    <row r="440" spans="32:33" x14ac:dyDescent="0.2">
      <c r="AF440" s="10"/>
      <c r="AG440" s="10"/>
    </row>
    <row r="441" spans="32:33" x14ac:dyDescent="0.2">
      <c r="AF441" s="10"/>
      <c r="AG441" s="10"/>
    </row>
    <row r="442" spans="32:33" x14ac:dyDescent="0.2">
      <c r="AF442" s="10"/>
      <c r="AG442" s="10"/>
    </row>
    <row r="443" spans="32:33" x14ac:dyDescent="0.2">
      <c r="AF443" s="10"/>
      <c r="AG443" s="10"/>
    </row>
    <row r="444" spans="32:33" x14ac:dyDescent="0.2">
      <c r="AF444" s="10"/>
      <c r="AG444" s="10"/>
    </row>
    <row r="445" spans="32:33" x14ac:dyDescent="0.2">
      <c r="AF445" s="10"/>
      <c r="AG445" s="10"/>
    </row>
    <row r="446" spans="32:33" x14ac:dyDescent="0.2">
      <c r="AF446" s="10"/>
      <c r="AG446" s="10"/>
    </row>
    <row r="447" spans="32:33" x14ac:dyDescent="0.2">
      <c r="AF447" s="10"/>
      <c r="AG447" s="10"/>
    </row>
    <row r="448" spans="32:33" x14ac:dyDescent="0.2">
      <c r="AF448" s="10"/>
      <c r="AG448" s="10"/>
    </row>
    <row r="449" spans="32:33" x14ac:dyDescent="0.2">
      <c r="AF449" s="10"/>
      <c r="AG449" s="10"/>
    </row>
    <row r="450" spans="32:33" x14ac:dyDescent="0.2">
      <c r="AF450" s="10"/>
      <c r="AG450" s="10"/>
    </row>
    <row r="451" spans="32:33" x14ac:dyDescent="0.2">
      <c r="AF451" s="10"/>
      <c r="AG451" s="10"/>
    </row>
    <row r="452" spans="32:33" x14ac:dyDescent="0.2">
      <c r="AF452" s="10"/>
      <c r="AG452" s="10"/>
    </row>
    <row r="453" spans="32:33" x14ac:dyDescent="0.2">
      <c r="AF453" s="10"/>
      <c r="AG453" s="10"/>
    </row>
    <row r="454" spans="32:33" x14ac:dyDescent="0.2">
      <c r="AF454" s="10"/>
      <c r="AG454" s="10"/>
    </row>
    <row r="455" spans="32:33" x14ac:dyDescent="0.2">
      <c r="AF455" s="10"/>
      <c r="AG455" s="10"/>
    </row>
    <row r="456" spans="32:33" x14ac:dyDescent="0.2">
      <c r="AF456" s="10"/>
      <c r="AG456" s="10"/>
    </row>
    <row r="457" spans="32:33" x14ac:dyDescent="0.2">
      <c r="AF457" s="10"/>
      <c r="AG457" s="10"/>
    </row>
    <row r="458" spans="32:33" x14ac:dyDescent="0.2">
      <c r="AF458" s="10"/>
      <c r="AG458" s="10"/>
    </row>
    <row r="459" spans="32:33" x14ac:dyDescent="0.2">
      <c r="AF459" s="10"/>
      <c r="AG459" s="10"/>
    </row>
    <row r="460" spans="32:33" x14ac:dyDescent="0.2">
      <c r="AF460" s="10"/>
      <c r="AG460" s="10"/>
    </row>
    <row r="461" spans="32:33" x14ac:dyDescent="0.2">
      <c r="AF461" s="10"/>
      <c r="AG461" s="10"/>
    </row>
    <row r="462" spans="32:33" x14ac:dyDescent="0.2">
      <c r="AF462" s="10"/>
      <c r="AG462" s="10"/>
    </row>
    <row r="463" spans="32:33" x14ac:dyDescent="0.2">
      <c r="AF463" s="10"/>
      <c r="AG463" s="10"/>
    </row>
    <row r="464" spans="32:33" x14ac:dyDescent="0.2">
      <c r="AF464" s="10"/>
      <c r="AG464" s="10"/>
    </row>
    <row r="465" spans="32:33" x14ac:dyDescent="0.2">
      <c r="AF465" s="10"/>
      <c r="AG465" s="10"/>
    </row>
    <row r="466" spans="32:33" x14ac:dyDescent="0.2">
      <c r="AF466" s="10"/>
      <c r="AG466" s="10"/>
    </row>
    <row r="467" spans="32:33" x14ac:dyDescent="0.2">
      <c r="AF467" s="10"/>
      <c r="AG467" s="10"/>
    </row>
    <row r="468" spans="32:33" x14ac:dyDescent="0.2">
      <c r="AF468" s="10"/>
      <c r="AG468" s="10"/>
    </row>
    <row r="469" spans="32:33" x14ac:dyDescent="0.2">
      <c r="AF469" s="10"/>
      <c r="AG469" s="10"/>
    </row>
    <row r="470" spans="32:33" x14ac:dyDescent="0.2">
      <c r="AF470" s="10"/>
      <c r="AG470" s="10"/>
    </row>
    <row r="471" spans="32:33" x14ac:dyDescent="0.2">
      <c r="AF471" s="10"/>
      <c r="AG471" s="10"/>
    </row>
    <row r="472" spans="32:33" x14ac:dyDescent="0.2">
      <c r="AF472" s="10"/>
      <c r="AG472" s="10"/>
    </row>
    <row r="473" spans="32:33" x14ac:dyDescent="0.2">
      <c r="AF473" s="10"/>
      <c r="AG473" s="10"/>
    </row>
    <row r="474" spans="32:33" x14ac:dyDescent="0.2">
      <c r="AF474" s="10"/>
      <c r="AG474" s="10"/>
    </row>
    <row r="475" spans="32:33" x14ac:dyDescent="0.2">
      <c r="AF475" s="10"/>
      <c r="AG475" s="10"/>
    </row>
    <row r="476" spans="32:33" x14ac:dyDescent="0.2">
      <c r="AF476" s="10"/>
      <c r="AG476" s="10"/>
    </row>
    <row r="477" spans="32:33" x14ac:dyDescent="0.2">
      <c r="AF477" s="10"/>
      <c r="AG477" s="10"/>
    </row>
    <row r="478" spans="32:33" x14ac:dyDescent="0.2">
      <c r="AF478" s="10"/>
      <c r="AG478" s="10"/>
    </row>
    <row r="479" spans="32:33" x14ac:dyDescent="0.2">
      <c r="AF479" s="10"/>
      <c r="AG479" s="10"/>
    </row>
    <row r="480" spans="32:33" x14ac:dyDescent="0.2">
      <c r="AF480" s="10"/>
      <c r="AG480" s="10"/>
    </row>
    <row r="481" spans="32:33" x14ac:dyDescent="0.2">
      <c r="AF481" s="10"/>
      <c r="AG481" s="10"/>
    </row>
    <row r="482" spans="32:33" x14ac:dyDescent="0.2">
      <c r="AF482" s="10"/>
      <c r="AG482" s="10"/>
    </row>
    <row r="483" spans="32:33" x14ac:dyDescent="0.2">
      <c r="AF483" s="10"/>
      <c r="AG483" s="10"/>
    </row>
    <row r="484" spans="32:33" x14ac:dyDescent="0.2">
      <c r="AF484" s="10"/>
      <c r="AG484" s="10"/>
    </row>
    <row r="485" spans="32:33" x14ac:dyDescent="0.2">
      <c r="AF485" s="10"/>
      <c r="AG485" s="10"/>
    </row>
    <row r="486" spans="32:33" x14ac:dyDescent="0.2">
      <c r="AF486" s="10"/>
      <c r="AG486" s="10"/>
    </row>
    <row r="487" spans="32:33" x14ac:dyDescent="0.2">
      <c r="AF487" s="10"/>
      <c r="AG487" s="10"/>
    </row>
    <row r="488" spans="32:33" x14ac:dyDescent="0.2">
      <c r="AF488" s="10"/>
      <c r="AG488" s="10"/>
    </row>
    <row r="489" spans="32:33" x14ac:dyDescent="0.2">
      <c r="AF489" s="10"/>
      <c r="AG489" s="10"/>
    </row>
    <row r="490" spans="32:33" x14ac:dyDescent="0.2">
      <c r="AF490" s="10"/>
      <c r="AG490" s="10"/>
    </row>
    <row r="491" spans="32:33" x14ac:dyDescent="0.2">
      <c r="AF491" s="10"/>
      <c r="AG491" s="10"/>
    </row>
    <row r="492" spans="32:33" x14ac:dyDescent="0.2">
      <c r="AF492" s="10"/>
      <c r="AG492" s="10"/>
    </row>
    <row r="493" spans="32:33" x14ac:dyDescent="0.2">
      <c r="AF493" s="10"/>
      <c r="AG493" s="10"/>
    </row>
    <row r="494" spans="32:33" x14ac:dyDescent="0.2">
      <c r="AF494" s="10"/>
      <c r="AG494" s="10"/>
    </row>
    <row r="495" spans="32:33" x14ac:dyDescent="0.2">
      <c r="AF495" s="10"/>
      <c r="AG495" s="10"/>
    </row>
    <row r="496" spans="32:33" x14ac:dyDescent="0.2">
      <c r="AF496" s="10"/>
      <c r="AG496" s="10"/>
    </row>
    <row r="497" spans="32:33" x14ac:dyDescent="0.2">
      <c r="AF497" s="10"/>
      <c r="AG497" s="10"/>
    </row>
    <row r="498" spans="32:33" x14ac:dyDescent="0.2">
      <c r="AF498" s="10"/>
      <c r="AG498" s="10"/>
    </row>
    <row r="499" spans="32:33" x14ac:dyDescent="0.2">
      <c r="AF499" s="10"/>
      <c r="AG499" s="10"/>
    </row>
    <row r="500" spans="32:33" x14ac:dyDescent="0.2">
      <c r="AF500" s="10"/>
      <c r="AG500" s="10"/>
    </row>
    <row r="501" spans="32:33" x14ac:dyDescent="0.2">
      <c r="AF501" s="10"/>
      <c r="AG501" s="10"/>
    </row>
    <row r="502" spans="32:33" x14ac:dyDescent="0.2">
      <c r="AF502" s="10"/>
      <c r="AG502" s="10"/>
    </row>
    <row r="503" spans="32:33" x14ac:dyDescent="0.2">
      <c r="AF503" s="10"/>
      <c r="AG503" s="10"/>
    </row>
    <row r="504" spans="32:33" x14ac:dyDescent="0.2">
      <c r="AF504" s="10"/>
      <c r="AG504" s="10"/>
    </row>
    <row r="505" spans="32:33" x14ac:dyDescent="0.2">
      <c r="AF505" s="10"/>
      <c r="AG505" s="10"/>
    </row>
    <row r="506" spans="32:33" x14ac:dyDescent="0.2">
      <c r="AF506" s="10"/>
      <c r="AG506" s="10"/>
    </row>
    <row r="507" spans="32:33" x14ac:dyDescent="0.2">
      <c r="AF507" s="10"/>
      <c r="AG507" s="10"/>
    </row>
    <row r="508" spans="32:33" x14ac:dyDescent="0.2">
      <c r="AF508" s="10"/>
      <c r="AG508" s="10"/>
    </row>
    <row r="509" spans="32:33" x14ac:dyDescent="0.2">
      <c r="AF509" s="10"/>
      <c r="AG509" s="10"/>
    </row>
    <row r="510" spans="32:33" x14ac:dyDescent="0.2">
      <c r="AF510" s="10"/>
      <c r="AG510" s="10"/>
    </row>
    <row r="511" spans="32:33" x14ac:dyDescent="0.2">
      <c r="AF511" s="10"/>
      <c r="AG511" s="10"/>
    </row>
    <row r="512" spans="32:33" x14ac:dyDescent="0.2">
      <c r="AF512" s="10"/>
      <c r="AG512" s="10"/>
    </row>
    <row r="513" spans="32:33" x14ac:dyDescent="0.2">
      <c r="AF513" s="10"/>
      <c r="AG513" s="10"/>
    </row>
    <row r="514" spans="32:33" x14ac:dyDescent="0.2">
      <c r="AF514" s="10"/>
      <c r="AG514" s="10"/>
    </row>
    <row r="515" spans="32:33" x14ac:dyDescent="0.2">
      <c r="AF515" s="10"/>
      <c r="AG515" s="10"/>
    </row>
    <row r="516" spans="32:33" x14ac:dyDescent="0.2">
      <c r="AF516" s="10"/>
      <c r="AG516" s="10"/>
    </row>
    <row r="517" spans="32:33" x14ac:dyDescent="0.2">
      <c r="AF517" s="10"/>
      <c r="AG517" s="10"/>
    </row>
    <row r="518" spans="32:33" x14ac:dyDescent="0.2">
      <c r="AF518" s="10"/>
      <c r="AG518" s="10"/>
    </row>
    <row r="519" spans="32:33" x14ac:dyDescent="0.2">
      <c r="AF519" s="10"/>
      <c r="AG519" s="10"/>
    </row>
    <row r="520" spans="32:33" x14ac:dyDescent="0.2">
      <c r="AF520" s="10"/>
      <c r="AG520" s="10"/>
    </row>
    <row r="521" spans="32:33" x14ac:dyDescent="0.2">
      <c r="AF521" s="10"/>
      <c r="AG521" s="10"/>
    </row>
    <row r="522" spans="32:33" x14ac:dyDescent="0.2">
      <c r="AF522" s="10"/>
      <c r="AG522" s="10"/>
    </row>
    <row r="523" spans="32:33" x14ac:dyDescent="0.2">
      <c r="AF523" s="10"/>
      <c r="AG523" s="10"/>
    </row>
    <row r="524" spans="32:33" x14ac:dyDescent="0.2">
      <c r="AF524" s="10"/>
      <c r="AG524" s="10"/>
    </row>
    <row r="525" spans="32:33" x14ac:dyDescent="0.2">
      <c r="AF525" s="10"/>
      <c r="AG525" s="10"/>
    </row>
    <row r="526" spans="32:33" x14ac:dyDescent="0.2">
      <c r="AF526" s="10"/>
      <c r="AG526" s="10"/>
    </row>
    <row r="527" spans="32:33" x14ac:dyDescent="0.2">
      <c r="AF527" s="10"/>
      <c r="AG527" s="10"/>
    </row>
    <row r="528" spans="32:33" x14ac:dyDescent="0.2">
      <c r="AF528" s="10"/>
      <c r="AG528" s="10"/>
    </row>
    <row r="529" spans="32:33" x14ac:dyDescent="0.2">
      <c r="AF529" s="10"/>
      <c r="AG529" s="10"/>
    </row>
    <row r="530" spans="32:33" x14ac:dyDescent="0.2">
      <c r="AF530" s="10"/>
      <c r="AG530" s="10"/>
    </row>
    <row r="531" spans="32:33" x14ac:dyDescent="0.2">
      <c r="AF531" s="10"/>
      <c r="AG531" s="10"/>
    </row>
    <row r="532" spans="32:33" x14ac:dyDescent="0.2">
      <c r="AF532" s="10"/>
      <c r="AG532" s="10"/>
    </row>
    <row r="533" spans="32:33" x14ac:dyDescent="0.2">
      <c r="AF533" s="10"/>
      <c r="AG533" s="10"/>
    </row>
    <row r="534" spans="32:33" x14ac:dyDescent="0.2">
      <c r="AF534" s="10"/>
      <c r="AG534" s="10"/>
    </row>
    <row r="535" spans="32:33" x14ac:dyDescent="0.2">
      <c r="AF535" s="10"/>
      <c r="AG535" s="10"/>
    </row>
    <row r="536" spans="32:33" x14ac:dyDescent="0.2">
      <c r="AF536" s="10"/>
      <c r="AG536" s="10"/>
    </row>
    <row r="537" spans="32:33" x14ac:dyDescent="0.2">
      <c r="AF537" s="10"/>
      <c r="AG537" s="10"/>
    </row>
    <row r="538" spans="32:33" x14ac:dyDescent="0.2">
      <c r="AF538" s="10"/>
      <c r="AG538" s="10"/>
    </row>
    <row r="539" spans="32:33" x14ac:dyDescent="0.2">
      <c r="AF539" s="10"/>
      <c r="AG539" s="10"/>
    </row>
    <row r="540" spans="32:33" x14ac:dyDescent="0.2">
      <c r="AF540" s="10"/>
      <c r="AG540" s="10"/>
    </row>
    <row r="541" spans="32:33" x14ac:dyDescent="0.2">
      <c r="AF541" s="10"/>
      <c r="AG541" s="10"/>
    </row>
    <row r="542" spans="32:33" x14ac:dyDescent="0.2">
      <c r="AF542" s="10"/>
      <c r="AG542" s="10"/>
    </row>
    <row r="543" spans="32:33" x14ac:dyDescent="0.2">
      <c r="AF543" s="10"/>
      <c r="AG543" s="10"/>
    </row>
    <row r="544" spans="32:33" x14ac:dyDescent="0.2">
      <c r="AF544" s="10"/>
      <c r="AG544" s="10"/>
    </row>
    <row r="545" spans="32:33" x14ac:dyDescent="0.2">
      <c r="AF545" s="10"/>
      <c r="AG545" s="10"/>
    </row>
    <row r="546" spans="32:33" x14ac:dyDescent="0.2">
      <c r="AF546" s="10"/>
      <c r="AG546" s="10"/>
    </row>
    <row r="547" spans="32:33" x14ac:dyDescent="0.2">
      <c r="AF547" s="10"/>
      <c r="AG547" s="10"/>
    </row>
    <row r="548" spans="32:33" x14ac:dyDescent="0.2">
      <c r="AF548" s="10"/>
      <c r="AG548" s="10"/>
    </row>
    <row r="549" spans="32:33" x14ac:dyDescent="0.2">
      <c r="AF549" s="10"/>
      <c r="AG549" s="10"/>
    </row>
    <row r="550" spans="32:33" x14ac:dyDescent="0.2">
      <c r="AF550" s="10"/>
      <c r="AG550" s="10"/>
    </row>
    <row r="551" spans="32:33" x14ac:dyDescent="0.2">
      <c r="AF551" s="10"/>
      <c r="AG551" s="10"/>
    </row>
    <row r="552" spans="32:33" x14ac:dyDescent="0.2">
      <c r="AF552" s="10"/>
      <c r="AG552" s="10"/>
    </row>
    <row r="553" spans="32:33" x14ac:dyDescent="0.2">
      <c r="AF553" s="10"/>
      <c r="AG553" s="10"/>
    </row>
    <row r="554" spans="32:33" x14ac:dyDescent="0.2">
      <c r="AF554" s="10"/>
      <c r="AG554" s="10"/>
    </row>
    <row r="555" spans="32:33" x14ac:dyDescent="0.2">
      <c r="AF555" s="10"/>
      <c r="AG555" s="10"/>
    </row>
    <row r="556" spans="32:33" x14ac:dyDescent="0.2">
      <c r="AF556" s="10"/>
      <c r="AG556" s="10"/>
    </row>
    <row r="557" spans="32:33" x14ac:dyDescent="0.2">
      <c r="AF557" s="10"/>
      <c r="AG557" s="10"/>
    </row>
    <row r="558" spans="32:33" x14ac:dyDescent="0.2">
      <c r="AF558" s="10"/>
      <c r="AG558" s="10"/>
    </row>
    <row r="559" spans="32:33" x14ac:dyDescent="0.2">
      <c r="AF559" s="10"/>
      <c r="AG559" s="10"/>
    </row>
    <row r="560" spans="32:33" x14ac:dyDescent="0.2">
      <c r="AF560" s="10"/>
      <c r="AG560" s="10"/>
    </row>
    <row r="561" spans="32:33" x14ac:dyDescent="0.2">
      <c r="AF561" s="10"/>
      <c r="AG561" s="10"/>
    </row>
    <row r="562" spans="32:33" x14ac:dyDescent="0.2">
      <c r="AF562" s="10"/>
      <c r="AG562" s="10"/>
    </row>
    <row r="563" spans="32:33" x14ac:dyDescent="0.2">
      <c r="AF563" s="10"/>
      <c r="AG563" s="10"/>
    </row>
    <row r="564" spans="32:33" x14ac:dyDescent="0.2">
      <c r="AF564" s="10"/>
      <c r="AG564" s="10"/>
    </row>
    <row r="565" spans="32:33" x14ac:dyDescent="0.2">
      <c r="AF565" s="10"/>
      <c r="AG565" s="10"/>
    </row>
    <row r="566" spans="32:33" x14ac:dyDescent="0.2">
      <c r="AF566" s="10"/>
      <c r="AG566" s="10"/>
    </row>
    <row r="567" spans="32:33" x14ac:dyDescent="0.2">
      <c r="AF567" s="10"/>
      <c r="AG567" s="10"/>
    </row>
    <row r="568" spans="32:33" x14ac:dyDescent="0.2">
      <c r="AF568" s="10"/>
      <c r="AG568" s="10"/>
    </row>
    <row r="569" spans="32:33" x14ac:dyDescent="0.2">
      <c r="AF569" s="10"/>
      <c r="AG569" s="10"/>
    </row>
    <row r="570" spans="32:33" x14ac:dyDescent="0.2">
      <c r="AF570" s="10"/>
      <c r="AG570" s="10"/>
    </row>
    <row r="571" spans="32:33" x14ac:dyDescent="0.2">
      <c r="AF571" s="10"/>
      <c r="AG571" s="10"/>
    </row>
    <row r="572" spans="32:33" x14ac:dyDescent="0.2">
      <c r="AF572" s="10"/>
      <c r="AG572" s="10"/>
    </row>
    <row r="573" spans="32:33" x14ac:dyDescent="0.2">
      <c r="AF573" s="10"/>
      <c r="AG573" s="10"/>
    </row>
    <row r="574" spans="32:33" x14ac:dyDescent="0.2">
      <c r="AF574" s="10"/>
      <c r="AG574" s="10"/>
    </row>
    <row r="575" spans="32:33" x14ac:dyDescent="0.2">
      <c r="AF575" s="10"/>
      <c r="AG575" s="10"/>
    </row>
    <row r="576" spans="32:33" x14ac:dyDescent="0.2">
      <c r="AF576" s="10"/>
      <c r="AG576" s="10"/>
    </row>
    <row r="577" spans="32:33" x14ac:dyDescent="0.2">
      <c r="AF577" s="10"/>
      <c r="AG577" s="10"/>
    </row>
    <row r="578" spans="32:33" x14ac:dyDescent="0.2">
      <c r="AF578" s="10"/>
      <c r="AG578" s="10"/>
    </row>
    <row r="579" spans="32:33" x14ac:dyDescent="0.2">
      <c r="AF579" s="10"/>
      <c r="AG579" s="10"/>
    </row>
    <row r="580" spans="32:33" x14ac:dyDescent="0.2">
      <c r="AF580" s="10"/>
      <c r="AG580" s="10"/>
    </row>
    <row r="581" spans="32:33" x14ac:dyDescent="0.2">
      <c r="AF581" s="10"/>
      <c r="AG581" s="10"/>
    </row>
    <row r="582" spans="32:33" x14ac:dyDescent="0.2">
      <c r="AF582" s="10"/>
      <c r="AG582" s="10"/>
    </row>
    <row r="583" spans="32:33" x14ac:dyDescent="0.2">
      <c r="AF583" s="10"/>
      <c r="AG583" s="10"/>
    </row>
    <row r="584" spans="32:33" x14ac:dyDescent="0.2">
      <c r="AF584" s="10"/>
      <c r="AG584" s="10"/>
    </row>
    <row r="585" spans="32:33" x14ac:dyDescent="0.2">
      <c r="AF585" s="10"/>
      <c r="AG585" s="10"/>
    </row>
    <row r="586" spans="32:33" x14ac:dyDescent="0.2">
      <c r="AF586" s="10"/>
      <c r="AG586" s="10"/>
    </row>
    <row r="587" spans="32:33" x14ac:dyDescent="0.2">
      <c r="AF587" s="10"/>
      <c r="AG587" s="10"/>
    </row>
    <row r="588" spans="32:33" x14ac:dyDescent="0.2">
      <c r="AF588" s="10"/>
      <c r="AG588" s="10"/>
    </row>
    <row r="589" spans="32:33" x14ac:dyDescent="0.2">
      <c r="AF589" s="10"/>
      <c r="AG589" s="10"/>
    </row>
    <row r="590" spans="32:33" x14ac:dyDescent="0.2">
      <c r="AF590" s="10"/>
      <c r="AG590" s="10"/>
    </row>
    <row r="591" spans="32:33" x14ac:dyDescent="0.2">
      <c r="AF591" s="10"/>
      <c r="AG591" s="10"/>
    </row>
    <row r="592" spans="32:33" x14ac:dyDescent="0.2">
      <c r="AF592" s="10"/>
      <c r="AG592" s="10"/>
    </row>
    <row r="593" spans="32:33" x14ac:dyDescent="0.2">
      <c r="AF593" s="10"/>
      <c r="AG593" s="10"/>
    </row>
    <row r="594" spans="32:33" x14ac:dyDescent="0.2">
      <c r="AF594" s="10"/>
      <c r="AG594" s="10"/>
    </row>
    <row r="595" spans="32:33" x14ac:dyDescent="0.2">
      <c r="AF595" s="10"/>
      <c r="AG595" s="10"/>
    </row>
    <row r="596" spans="32:33" x14ac:dyDescent="0.2">
      <c r="AF596" s="10"/>
      <c r="AG596" s="10"/>
    </row>
    <row r="597" spans="32:33" x14ac:dyDescent="0.2">
      <c r="AF597" s="10"/>
      <c r="AG597" s="10"/>
    </row>
    <row r="598" spans="32:33" x14ac:dyDescent="0.2">
      <c r="AF598" s="10"/>
      <c r="AG598" s="10"/>
    </row>
    <row r="599" spans="32:33" x14ac:dyDescent="0.2">
      <c r="AF599" s="10"/>
      <c r="AG599" s="10"/>
    </row>
    <row r="600" spans="32:33" x14ac:dyDescent="0.2">
      <c r="AF600" s="10"/>
      <c r="AG600" s="10"/>
    </row>
    <row r="601" spans="32:33" x14ac:dyDescent="0.2">
      <c r="AF601" s="10"/>
      <c r="AG601" s="10"/>
    </row>
    <row r="602" spans="32:33" x14ac:dyDescent="0.2">
      <c r="AF602" s="10"/>
      <c r="AG602" s="10"/>
    </row>
    <row r="603" spans="32:33" x14ac:dyDescent="0.2">
      <c r="AF603" s="10"/>
      <c r="AG603" s="10"/>
    </row>
    <row r="604" spans="32:33" x14ac:dyDescent="0.2">
      <c r="AF604" s="10"/>
      <c r="AG604" s="10"/>
    </row>
    <row r="605" spans="32:33" x14ac:dyDescent="0.2">
      <c r="AF605" s="10"/>
      <c r="AG605" s="10"/>
    </row>
    <row r="606" spans="32:33" x14ac:dyDescent="0.2">
      <c r="AF606" s="10"/>
      <c r="AG606" s="10"/>
    </row>
    <row r="607" spans="32:33" x14ac:dyDescent="0.2">
      <c r="AF607" s="10"/>
      <c r="AG607" s="10"/>
    </row>
    <row r="608" spans="32:33" x14ac:dyDescent="0.2">
      <c r="AF608" s="10"/>
      <c r="AG608" s="10"/>
    </row>
    <row r="609" spans="32:33" x14ac:dyDescent="0.2">
      <c r="AF609" s="10"/>
      <c r="AG609" s="10"/>
    </row>
    <row r="610" spans="32:33" x14ac:dyDescent="0.2">
      <c r="AF610" s="10"/>
      <c r="AG610" s="10"/>
    </row>
    <row r="611" spans="32:33" x14ac:dyDescent="0.2">
      <c r="AF611" s="10"/>
      <c r="AG611" s="10"/>
    </row>
    <row r="612" spans="32:33" x14ac:dyDescent="0.2">
      <c r="AF612" s="10"/>
      <c r="AG612" s="10"/>
    </row>
    <row r="613" spans="32:33" x14ac:dyDescent="0.2">
      <c r="AF613" s="10"/>
      <c r="AG613" s="10"/>
    </row>
    <row r="614" spans="32:33" x14ac:dyDescent="0.2">
      <c r="AF614" s="10"/>
      <c r="AG614" s="10"/>
    </row>
    <row r="615" spans="32:33" x14ac:dyDescent="0.2">
      <c r="AF615" s="10"/>
      <c r="AG615" s="10"/>
    </row>
    <row r="616" spans="32:33" x14ac:dyDescent="0.2">
      <c r="AF616" s="10"/>
      <c r="AG616" s="10"/>
    </row>
    <row r="617" spans="32:33" x14ac:dyDescent="0.2">
      <c r="AF617" s="10"/>
      <c r="AG617" s="10"/>
    </row>
    <row r="618" spans="32:33" x14ac:dyDescent="0.2">
      <c r="AF618" s="10"/>
      <c r="AG618" s="10"/>
    </row>
    <row r="619" spans="32:33" x14ac:dyDescent="0.2">
      <c r="AF619" s="10"/>
      <c r="AG619" s="10"/>
    </row>
    <row r="620" spans="32:33" x14ac:dyDescent="0.2">
      <c r="AF620" s="10"/>
      <c r="AG620" s="10"/>
    </row>
    <row r="621" spans="32:33" x14ac:dyDescent="0.2">
      <c r="AF621" s="10"/>
      <c r="AG621" s="10"/>
    </row>
    <row r="622" spans="32:33" x14ac:dyDescent="0.2">
      <c r="AF622" s="10"/>
      <c r="AG622" s="10"/>
    </row>
    <row r="623" spans="32:33" x14ac:dyDescent="0.2">
      <c r="AF623" s="10"/>
      <c r="AG623" s="10"/>
    </row>
    <row r="624" spans="32:33" x14ac:dyDescent="0.2">
      <c r="AF624" s="10"/>
      <c r="AG624" s="10"/>
    </row>
    <row r="625" spans="32:33" x14ac:dyDescent="0.2">
      <c r="AF625" s="10"/>
      <c r="AG625" s="10"/>
    </row>
    <row r="626" spans="32:33" x14ac:dyDescent="0.2">
      <c r="AF626" s="10"/>
      <c r="AG626" s="10"/>
    </row>
    <row r="627" spans="32:33" x14ac:dyDescent="0.2">
      <c r="AF627" s="10"/>
      <c r="AG627" s="10"/>
    </row>
    <row r="628" spans="32:33" x14ac:dyDescent="0.2">
      <c r="AF628" s="10"/>
      <c r="AG628" s="10"/>
    </row>
    <row r="629" spans="32:33" x14ac:dyDescent="0.2">
      <c r="AF629" s="10"/>
      <c r="AG629" s="10"/>
    </row>
    <row r="630" spans="32:33" x14ac:dyDescent="0.2">
      <c r="AF630" s="10"/>
      <c r="AG630" s="10"/>
    </row>
    <row r="631" spans="32:33" x14ac:dyDescent="0.2">
      <c r="AF631" s="10"/>
      <c r="AG631" s="10"/>
    </row>
    <row r="632" spans="32:33" x14ac:dyDescent="0.2">
      <c r="AF632" s="10"/>
      <c r="AG632" s="10"/>
    </row>
    <row r="633" spans="32:33" x14ac:dyDescent="0.2">
      <c r="AF633" s="10"/>
      <c r="AG633" s="10"/>
    </row>
    <row r="634" spans="32:33" x14ac:dyDescent="0.2">
      <c r="AF634" s="10"/>
      <c r="AG634" s="10"/>
    </row>
    <row r="635" spans="32:33" x14ac:dyDescent="0.2">
      <c r="AF635" s="10"/>
      <c r="AG635" s="10"/>
    </row>
    <row r="636" spans="32:33" x14ac:dyDescent="0.2">
      <c r="AF636" s="10"/>
      <c r="AG636" s="10"/>
    </row>
    <row r="637" spans="32:33" x14ac:dyDescent="0.2">
      <c r="AF637" s="10"/>
      <c r="AG637" s="10"/>
    </row>
    <row r="638" spans="32:33" x14ac:dyDescent="0.2">
      <c r="AF638" s="10"/>
      <c r="AG638" s="10"/>
    </row>
    <row r="639" spans="32:33" x14ac:dyDescent="0.2">
      <c r="AF639" s="10"/>
      <c r="AG639" s="10"/>
    </row>
    <row r="640" spans="32:33" x14ac:dyDescent="0.2">
      <c r="AF640" s="10"/>
      <c r="AG640" s="10"/>
    </row>
    <row r="641" spans="32:33" x14ac:dyDescent="0.2">
      <c r="AF641" s="10"/>
      <c r="AG641" s="10"/>
    </row>
    <row r="642" spans="32:33" x14ac:dyDescent="0.2">
      <c r="AF642" s="10"/>
      <c r="AG642" s="10"/>
    </row>
    <row r="643" spans="32:33" x14ac:dyDescent="0.2">
      <c r="AF643" s="10"/>
      <c r="AG643" s="10"/>
    </row>
    <row r="644" spans="32:33" x14ac:dyDescent="0.2">
      <c r="AF644" s="10"/>
      <c r="AG644" s="10"/>
    </row>
    <row r="645" spans="32:33" x14ac:dyDescent="0.2">
      <c r="AF645" s="10"/>
      <c r="AG645" s="10"/>
    </row>
    <row r="646" spans="32:33" x14ac:dyDescent="0.2">
      <c r="AF646" s="10"/>
      <c r="AG646" s="10"/>
    </row>
    <row r="647" spans="32:33" x14ac:dyDescent="0.2">
      <c r="AF647" s="10"/>
      <c r="AG647" s="10"/>
    </row>
    <row r="648" spans="32:33" x14ac:dyDescent="0.2">
      <c r="AF648" s="10"/>
      <c r="AG648" s="10"/>
    </row>
    <row r="649" spans="32:33" x14ac:dyDescent="0.2">
      <c r="AF649" s="10"/>
      <c r="AG649" s="10"/>
    </row>
    <row r="650" spans="32:33" x14ac:dyDescent="0.2">
      <c r="AF650" s="10"/>
      <c r="AG650" s="10"/>
    </row>
    <row r="651" spans="32:33" x14ac:dyDescent="0.2">
      <c r="AF651" s="10"/>
      <c r="AG651" s="10"/>
    </row>
    <row r="652" spans="32:33" x14ac:dyDescent="0.2">
      <c r="AF652" s="10"/>
      <c r="AG652" s="10"/>
    </row>
    <row r="653" spans="32:33" x14ac:dyDescent="0.2">
      <c r="AF653" s="10"/>
      <c r="AG653" s="10"/>
    </row>
    <row r="654" spans="32:33" x14ac:dyDescent="0.2">
      <c r="AF654" s="10"/>
      <c r="AG654" s="10"/>
    </row>
    <row r="655" spans="32:33" x14ac:dyDescent="0.2">
      <c r="AF655" s="10"/>
      <c r="AG655" s="10"/>
    </row>
    <row r="656" spans="32:33" x14ac:dyDescent="0.2">
      <c r="AF656" s="10"/>
      <c r="AG656" s="10"/>
    </row>
    <row r="657" spans="32:33" x14ac:dyDescent="0.2">
      <c r="AF657" s="10"/>
      <c r="AG657" s="10"/>
    </row>
    <row r="658" spans="32:33" x14ac:dyDescent="0.2">
      <c r="AF658" s="10"/>
      <c r="AG658" s="10"/>
    </row>
    <row r="659" spans="32:33" x14ac:dyDescent="0.2">
      <c r="AF659" s="10"/>
      <c r="AG659" s="10"/>
    </row>
    <row r="660" spans="32:33" x14ac:dyDescent="0.2">
      <c r="AF660" s="10"/>
      <c r="AG660" s="10"/>
    </row>
    <row r="661" spans="32:33" x14ac:dyDescent="0.2">
      <c r="AF661" s="10"/>
      <c r="AG661" s="10"/>
    </row>
    <row r="662" spans="32:33" x14ac:dyDescent="0.2">
      <c r="AF662" s="10"/>
      <c r="AG662" s="10"/>
    </row>
    <row r="663" spans="32:33" x14ac:dyDescent="0.2">
      <c r="AF663" s="10"/>
      <c r="AG663" s="10"/>
    </row>
    <row r="664" spans="32:33" x14ac:dyDescent="0.2">
      <c r="AF664" s="10"/>
      <c r="AG664" s="10"/>
    </row>
    <row r="665" spans="32:33" x14ac:dyDescent="0.2">
      <c r="AF665" s="10"/>
      <c r="AG665" s="10"/>
    </row>
    <row r="666" spans="32:33" x14ac:dyDescent="0.2">
      <c r="AF666" s="10"/>
      <c r="AG666" s="10"/>
    </row>
    <row r="667" spans="32:33" x14ac:dyDescent="0.2">
      <c r="AF667" s="10"/>
      <c r="AG667" s="10"/>
    </row>
    <row r="668" spans="32:33" x14ac:dyDescent="0.2">
      <c r="AF668" s="10"/>
      <c r="AG668" s="10"/>
    </row>
    <row r="669" spans="32:33" x14ac:dyDescent="0.2">
      <c r="AF669" s="10"/>
      <c r="AG669" s="10"/>
    </row>
    <row r="670" spans="32:33" x14ac:dyDescent="0.2">
      <c r="AF670" s="10"/>
      <c r="AG670" s="10"/>
    </row>
    <row r="671" spans="32:33" x14ac:dyDescent="0.2">
      <c r="AF671" s="10"/>
      <c r="AG671" s="10"/>
    </row>
    <row r="672" spans="32:33" x14ac:dyDescent="0.2">
      <c r="AF672" s="10"/>
      <c r="AG672" s="10"/>
    </row>
    <row r="673" spans="32:33" x14ac:dyDescent="0.2">
      <c r="AF673" s="10"/>
      <c r="AG673" s="10"/>
    </row>
    <row r="674" spans="32:33" x14ac:dyDescent="0.2">
      <c r="AF674" s="10"/>
      <c r="AG674" s="10"/>
    </row>
    <row r="675" spans="32:33" x14ac:dyDescent="0.2">
      <c r="AF675" s="10"/>
      <c r="AG675" s="10"/>
    </row>
    <row r="676" spans="32:33" x14ac:dyDescent="0.2">
      <c r="AF676" s="10"/>
      <c r="AG676" s="10"/>
    </row>
    <row r="677" spans="32:33" x14ac:dyDescent="0.2">
      <c r="AF677" s="10"/>
      <c r="AG677" s="10"/>
    </row>
    <row r="678" spans="32:33" x14ac:dyDescent="0.2">
      <c r="AF678" s="10"/>
      <c r="AG678" s="10"/>
    </row>
    <row r="679" spans="32:33" x14ac:dyDescent="0.2">
      <c r="AF679" s="10"/>
      <c r="AG679" s="10"/>
    </row>
    <row r="680" spans="32:33" x14ac:dyDescent="0.2">
      <c r="AF680" s="10"/>
      <c r="AG680" s="10"/>
    </row>
    <row r="681" spans="32:33" x14ac:dyDescent="0.2">
      <c r="AF681" s="10"/>
      <c r="AG681" s="10"/>
    </row>
    <row r="682" spans="32:33" x14ac:dyDescent="0.2">
      <c r="AF682" s="10"/>
      <c r="AG682" s="10"/>
    </row>
    <row r="683" spans="32:33" x14ac:dyDescent="0.2">
      <c r="AF683" s="10"/>
      <c r="AG683" s="10"/>
    </row>
    <row r="684" spans="32:33" x14ac:dyDescent="0.2">
      <c r="AF684" s="10"/>
      <c r="AG684" s="10"/>
    </row>
    <row r="685" spans="32:33" x14ac:dyDescent="0.2">
      <c r="AF685" s="10"/>
      <c r="AG685" s="10"/>
    </row>
    <row r="686" spans="32:33" x14ac:dyDescent="0.2">
      <c r="AF686" s="10"/>
      <c r="AG686" s="10"/>
    </row>
    <row r="687" spans="32:33" x14ac:dyDescent="0.2">
      <c r="AF687" s="10"/>
      <c r="AG687" s="10"/>
    </row>
    <row r="688" spans="32:33" x14ac:dyDescent="0.2">
      <c r="AF688" s="10"/>
      <c r="AG688" s="10"/>
    </row>
    <row r="689" spans="32:33" x14ac:dyDescent="0.2">
      <c r="AF689" s="10"/>
      <c r="AG689" s="10"/>
    </row>
    <row r="690" spans="32:33" x14ac:dyDescent="0.2">
      <c r="AF690" s="10"/>
      <c r="AG690" s="10"/>
    </row>
    <row r="691" spans="32:33" x14ac:dyDescent="0.2">
      <c r="AF691" s="10"/>
      <c r="AG691" s="10"/>
    </row>
    <row r="692" spans="32:33" x14ac:dyDescent="0.2">
      <c r="AF692" s="10"/>
      <c r="AG692" s="10"/>
    </row>
    <row r="693" spans="32:33" x14ac:dyDescent="0.2">
      <c r="AF693" s="10"/>
      <c r="AG693" s="10"/>
    </row>
    <row r="694" spans="32:33" x14ac:dyDescent="0.2">
      <c r="AF694" s="10"/>
      <c r="AG694" s="10"/>
    </row>
    <row r="695" spans="32:33" x14ac:dyDescent="0.2">
      <c r="AF695" s="10"/>
      <c r="AG695" s="10"/>
    </row>
    <row r="696" spans="32:33" x14ac:dyDescent="0.2">
      <c r="AF696" s="10"/>
      <c r="AG696" s="10"/>
    </row>
    <row r="697" spans="32:33" x14ac:dyDescent="0.2">
      <c r="AF697" s="10"/>
      <c r="AG697" s="10"/>
    </row>
    <row r="698" spans="32:33" x14ac:dyDescent="0.2">
      <c r="AF698" s="10"/>
      <c r="AG698" s="10"/>
    </row>
    <row r="699" spans="32:33" x14ac:dyDescent="0.2">
      <c r="AF699" s="10"/>
      <c r="AG699" s="10"/>
    </row>
    <row r="700" spans="32:33" x14ac:dyDescent="0.2">
      <c r="AF700" s="10"/>
      <c r="AG700" s="10"/>
    </row>
    <row r="701" spans="32:33" x14ac:dyDescent="0.2">
      <c r="AF701" s="10"/>
      <c r="AG701" s="10"/>
    </row>
    <row r="702" spans="32:33" x14ac:dyDescent="0.2">
      <c r="AF702" s="10"/>
      <c r="AG702" s="10"/>
    </row>
    <row r="703" spans="32:33" x14ac:dyDescent="0.2">
      <c r="AF703" s="10"/>
      <c r="AG703" s="10"/>
    </row>
    <row r="704" spans="32:33" x14ac:dyDescent="0.2">
      <c r="AF704" s="10"/>
      <c r="AG704" s="10"/>
    </row>
    <row r="705" spans="32:33" x14ac:dyDescent="0.2">
      <c r="AF705" s="10"/>
      <c r="AG705" s="10"/>
    </row>
    <row r="706" spans="32:33" x14ac:dyDescent="0.2">
      <c r="AF706" s="10"/>
      <c r="AG706" s="10"/>
    </row>
    <row r="707" spans="32:33" x14ac:dyDescent="0.2">
      <c r="AF707" s="10"/>
      <c r="AG707" s="10"/>
    </row>
    <row r="708" spans="32:33" x14ac:dyDescent="0.2">
      <c r="AF708" s="10"/>
      <c r="AG708" s="10"/>
    </row>
    <row r="709" spans="32:33" x14ac:dyDescent="0.2">
      <c r="AF709" s="10"/>
      <c r="AG709" s="10"/>
    </row>
    <row r="710" spans="32:33" x14ac:dyDescent="0.2">
      <c r="AF710" s="10"/>
      <c r="AG710" s="10"/>
    </row>
    <row r="711" spans="32:33" x14ac:dyDescent="0.2">
      <c r="AF711" s="10"/>
      <c r="AG711" s="10"/>
    </row>
    <row r="712" spans="32:33" x14ac:dyDescent="0.2">
      <c r="AF712" s="10"/>
      <c r="AG712" s="10"/>
    </row>
    <row r="713" spans="32:33" x14ac:dyDescent="0.2">
      <c r="AF713" s="10"/>
      <c r="AG713" s="10"/>
    </row>
    <row r="714" spans="32:33" x14ac:dyDescent="0.2">
      <c r="AF714" s="10"/>
      <c r="AG714" s="10"/>
    </row>
    <row r="715" spans="32:33" x14ac:dyDescent="0.2">
      <c r="AF715" s="10"/>
      <c r="AG715" s="10"/>
    </row>
    <row r="716" spans="32:33" x14ac:dyDescent="0.2">
      <c r="AF716" s="10"/>
      <c r="AG716" s="10"/>
    </row>
    <row r="717" spans="32:33" x14ac:dyDescent="0.2">
      <c r="AF717" s="10"/>
      <c r="AG717" s="10"/>
    </row>
    <row r="718" spans="32:33" x14ac:dyDescent="0.2">
      <c r="AF718" s="10"/>
      <c r="AG718" s="10"/>
    </row>
    <row r="719" spans="32:33" x14ac:dyDescent="0.2">
      <c r="AF719" s="10"/>
      <c r="AG719" s="10"/>
    </row>
    <row r="720" spans="32:33" x14ac:dyDescent="0.2">
      <c r="AF720" s="10"/>
      <c r="AG720" s="10"/>
    </row>
    <row r="721" spans="32:33" x14ac:dyDescent="0.2">
      <c r="AF721" s="10"/>
      <c r="AG721" s="10"/>
    </row>
    <row r="722" spans="32:33" x14ac:dyDescent="0.2">
      <c r="AF722" s="10"/>
      <c r="AG722" s="10"/>
    </row>
    <row r="723" spans="32:33" x14ac:dyDescent="0.2">
      <c r="AF723" s="10"/>
      <c r="AG723" s="10"/>
    </row>
    <row r="724" spans="32:33" x14ac:dyDescent="0.2">
      <c r="AF724" s="10"/>
      <c r="AG724" s="10"/>
    </row>
    <row r="725" spans="32:33" x14ac:dyDescent="0.2">
      <c r="AF725" s="10"/>
      <c r="AG725" s="10"/>
    </row>
    <row r="726" spans="32:33" x14ac:dyDescent="0.2">
      <c r="AF726" s="10"/>
      <c r="AG726" s="10"/>
    </row>
    <row r="727" spans="32:33" x14ac:dyDescent="0.2">
      <c r="AF727" s="10"/>
      <c r="AG727" s="10"/>
    </row>
    <row r="728" spans="32:33" x14ac:dyDescent="0.2">
      <c r="AF728" s="10"/>
      <c r="AG728" s="10"/>
    </row>
    <row r="729" spans="32:33" x14ac:dyDescent="0.2">
      <c r="AF729" s="10"/>
      <c r="AG729" s="10"/>
    </row>
    <row r="730" spans="32:33" x14ac:dyDescent="0.2">
      <c r="AF730" s="10"/>
      <c r="AG730" s="10"/>
    </row>
    <row r="731" spans="32:33" x14ac:dyDescent="0.2">
      <c r="AF731" s="10"/>
      <c r="AG731" s="10"/>
    </row>
    <row r="732" spans="32:33" x14ac:dyDescent="0.2">
      <c r="AF732" s="10"/>
      <c r="AG732" s="10"/>
    </row>
    <row r="733" spans="32:33" x14ac:dyDescent="0.2">
      <c r="AF733" s="10"/>
      <c r="AG733" s="10"/>
    </row>
    <row r="734" spans="32:33" x14ac:dyDescent="0.2">
      <c r="AF734" s="10"/>
      <c r="AG734" s="10"/>
    </row>
    <row r="735" spans="32:33" x14ac:dyDescent="0.2">
      <c r="AF735" s="10"/>
      <c r="AG735" s="10"/>
    </row>
    <row r="736" spans="32:33" x14ac:dyDescent="0.2">
      <c r="AF736" s="10"/>
      <c r="AG736" s="10"/>
    </row>
    <row r="737" spans="32:33" x14ac:dyDescent="0.2">
      <c r="AF737" s="10"/>
      <c r="AG737" s="10"/>
    </row>
    <row r="738" spans="32:33" x14ac:dyDescent="0.2">
      <c r="AF738" s="10"/>
      <c r="AG738" s="10"/>
    </row>
    <row r="739" spans="32:33" x14ac:dyDescent="0.2">
      <c r="AF739" s="10"/>
      <c r="AG739" s="10"/>
    </row>
    <row r="740" spans="32:33" x14ac:dyDescent="0.2">
      <c r="AF740" s="10"/>
      <c r="AG740" s="10"/>
    </row>
    <row r="741" spans="32:33" x14ac:dyDescent="0.2">
      <c r="AF741" s="10"/>
      <c r="AG741" s="10"/>
    </row>
    <row r="742" spans="32:33" x14ac:dyDescent="0.2">
      <c r="AF742" s="10"/>
      <c r="AG742" s="10"/>
    </row>
    <row r="743" spans="32:33" x14ac:dyDescent="0.2">
      <c r="AF743" s="10"/>
      <c r="AG743" s="10"/>
    </row>
    <row r="744" spans="32:33" x14ac:dyDescent="0.2">
      <c r="AF744" s="10"/>
      <c r="AG744" s="10"/>
    </row>
    <row r="745" spans="32:33" x14ac:dyDescent="0.2">
      <c r="AF745" s="10"/>
      <c r="AG745" s="10"/>
    </row>
    <row r="746" spans="32:33" x14ac:dyDescent="0.2">
      <c r="AF746" s="10"/>
      <c r="AG746" s="10"/>
    </row>
    <row r="747" spans="32:33" x14ac:dyDescent="0.2">
      <c r="AF747" s="10"/>
      <c r="AG747" s="10"/>
    </row>
    <row r="748" spans="32:33" x14ac:dyDescent="0.2">
      <c r="AF748" s="10"/>
      <c r="AG748" s="10"/>
    </row>
    <row r="749" spans="32:33" x14ac:dyDescent="0.2">
      <c r="AF749" s="10"/>
      <c r="AG749" s="10"/>
    </row>
    <row r="750" spans="32:33" x14ac:dyDescent="0.2">
      <c r="AF750" s="10"/>
      <c r="AG750" s="10"/>
    </row>
    <row r="751" spans="32:33" x14ac:dyDescent="0.2">
      <c r="AF751" s="10"/>
      <c r="AG751" s="10"/>
    </row>
    <row r="752" spans="32:33" x14ac:dyDescent="0.2">
      <c r="AF752" s="10"/>
      <c r="AG752" s="10"/>
    </row>
    <row r="753" spans="32:33" x14ac:dyDescent="0.2">
      <c r="AF753" s="10"/>
      <c r="AG753" s="10"/>
    </row>
    <row r="754" spans="32:33" x14ac:dyDescent="0.2">
      <c r="AF754" s="10"/>
      <c r="AG754" s="10"/>
    </row>
    <row r="755" spans="32:33" x14ac:dyDescent="0.2">
      <c r="AF755" s="10"/>
      <c r="AG755" s="10"/>
    </row>
    <row r="756" spans="32:33" x14ac:dyDescent="0.2">
      <c r="AF756" s="10"/>
      <c r="AG756" s="10"/>
    </row>
    <row r="757" spans="32:33" x14ac:dyDescent="0.2">
      <c r="AF757" s="10"/>
      <c r="AG757" s="10"/>
    </row>
    <row r="758" spans="32:33" x14ac:dyDescent="0.2">
      <c r="AF758" s="10"/>
      <c r="AG758" s="10"/>
    </row>
    <row r="759" spans="32:33" x14ac:dyDescent="0.2">
      <c r="AF759" s="10"/>
      <c r="AG759" s="10"/>
    </row>
    <row r="760" spans="32:33" x14ac:dyDescent="0.2">
      <c r="AF760" s="10"/>
      <c r="AG760" s="10"/>
    </row>
    <row r="761" spans="32:33" x14ac:dyDescent="0.2">
      <c r="AF761" s="10"/>
      <c r="AG761" s="10"/>
    </row>
    <row r="762" spans="32:33" x14ac:dyDescent="0.2">
      <c r="AF762" s="10"/>
      <c r="AG762" s="10"/>
    </row>
    <row r="763" spans="32:33" x14ac:dyDescent="0.2">
      <c r="AF763" s="10"/>
      <c r="AG763" s="10"/>
    </row>
    <row r="764" spans="32:33" x14ac:dyDescent="0.2">
      <c r="AF764" s="10"/>
      <c r="AG764" s="10"/>
    </row>
    <row r="765" spans="32:33" x14ac:dyDescent="0.2">
      <c r="AF765" s="10"/>
      <c r="AG765" s="10"/>
    </row>
    <row r="766" spans="32:33" x14ac:dyDescent="0.2">
      <c r="AF766" s="10"/>
      <c r="AG766" s="10"/>
    </row>
    <row r="767" spans="32:33" x14ac:dyDescent="0.2">
      <c r="AF767" s="10"/>
      <c r="AG767" s="10"/>
    </row>
    <row r="768" spans="32:33" x14ac:dyDescent="0.2">
      <c r="AF768" s="10"/>
      <c r="AG768" s="10"/>
    </row>
    <row r="769" spans="32:33" x14ac:dyDescent="0.2">
      <c r="AF769" s="10"/>
      <c r="AG769" s="10"/>
    </row>
    <row r="770" spans="32:33" x14ac:dyDescent="0.2">
      <c r="AF770" s="10"/>
      <c r="AG770" s="10"/>
    </row>
    <row r="771" spans="32:33" x14ac:dyDescent="0.2">
      <c r="AF771" s="10"/>
      <c r="AG771" s="10"/>
    </row>
    <row r="772" spans="32:33" x14ac:dyDescent="0.2">
      <c r="AF772" s="10"/>
      <c r="AG772" s="10"/>
    </row>
    <row r="773" spans="32:33" x14ac:dyDescent="0.2">
      <c r="AF773" s="10"/>
      <c r="AG773" s="10"/>
    </row>
    <row r="774" spans="32:33" x14ac:dyDescent="0.2">
      <c r="AF774" s="10"/>
      <c r="AG774" s="10"/>
    </row>
    <row r="775" spans="32:33" x14ac:dyDescent="0.2">
      <c r="AF775" s="10"/>
      <c r="AG775" s="10"/>
    </row>
    <row r="776" spans="32:33" x14ac:dyDescent="0.2">
      <c r="AF776" s="10"/>
      <c r="AG776" s="10"/>
    </row>
    <row r="777" spans="32:33" x14ac:dyDescent="0.2">
      <c r="AF777" s="10"/>
      <c r="AG777" s="10"/>
    </row>
    <row r="778" spans="32:33" x14ac:dyDescent="0.2">
      <c r="AF778" s="10"/>
      <c r="AG778" s="10"/>
    </row>
    <row r="779" spans="32:33" x14ac:dyDescent="0.2">
      <c r="AF779" s="10"/>
      <c r="AG779" s="10"/>
    </row>
    <row r="780" spans="32:33" x14ac:dyDescent="0.2">
      <c r="AF780" s="10"/>
      <c r="AG780" s="10"/>
    </row>
    <row r="781" spans="32:33" x14ac:dyDescent="0.2">
      <c r="AF781" s="10"/>
      <c r="AG781" s="10"/>
    </row>
    <row r="782" spans="32:33" x14ac:dyDescent="0.2">
      <c r="AF782" s="10"/>
      <c r="AG782" s="10"/>
    </row>
    <row r="783" spans="32:33" x14ac:dyDescent="0.2">
      <c r="AF783" s="10"/>
      <c r="AG783" s="10"/>
    </row>
    <row r="784" spans="32:33" x14ac:dyDescent="0.2">
      <c r="AF784" s="10"/>
      <c r="AG784" s="10"/>
    </row>
    <row r="785" spans="32:33" x14ac:dyDescent="0.2">
      <c r="AF785" s="10"/>
      <c r="AG785" s="10"/>
    </row>
    <row r="786" spans="32:33" x14ac:dyDescent="0.2">
      <c r="AF786" s="10"/>
      <c r="AG786" s="10"/>
    </row>
    <row r="787" spans="32:33" x14ac:dyDescent="0.2">
      <c r="AF787" s="10"/>
      <c r="AG787" s="10"/>
    </row>
    <row r="788" spans="32:33" x14ac:dyDescent="0.2">
      <c r="AF788" s="10"/>
      <c r="AG788" s="10"/>
    </row>
    <row r="789" spans="32:33" x14ac:dyDescent="0.2">
      <c r="AF789" s="10"/>
      <c r="AG789" s="10"/>
    </row>
    <row r="790" spans="32:33" x14ac:dyDescent="0.2">
      <c r="AF790" s="10"/>
      <c r="AG790" s="10"/>
    </row>
    <row r="791" spans="32:33" x14ac:dyDescent="0.2">
      <c r="AF791" s="10"/>
      <c r="AG791" s="10"/>
    </row>
    <row r="792" spans="32:33" x14ac:dyDescent="0.2">
      <c r="AF792" s="10"/>
      <c r="AG792" s="10"/>
    </row>
    <row r="793" spans="32:33" x14ac:dyDescent="0.2">
      <c r="AF793" s="10"/>
      <c r="AG793" s="10"/>
    </row>
    <row r="794" spans="32:33" x14ac:dyDescent="0.2">
      <c r="AF794" s="10"/>
      <c r="AG794" s="10"/>
    </row>
    <row r="795" spans="32:33" x14ac:dyDescent="0.2">
      <c r="AF795" s="10"/>
      <c r="AG795" s="10"/>
    </row>
    <row r="796" spans="32:33" x14ac:dyDescent="0.2">
      <c r="AF796" s="10"/>
      <c r="AG796" s="10"/>
    </row>
    <row r="797" spans="32:33" x14ac:dyDescent="0.2">
      <c r="AF797" s="10"/>
      <c r="AG797" s="10"/>
    </row>
    <row r="798" spans="32:33" x14ac:dyDescent="0.2">
      <c r="AF798" s="10"/>
      <c r="AG798" s="10"/>
    </row>
    <row r="799" spans="32:33" x14ac:dyDescent="0.2">
      <c r="AF799" s="10"/>
      <c r="AG799" s="10"/>
    </row>
    <row r="800" spans="32:33" x14ac:dyDescent="0.2">
      <c r="AF800" s="10"/>
      <c r="AG800" s="10"/>
    </row>
    <row r="801" spans="32:33" x14ac:dyDescent="0.2">
      <c r="AF801" s="10"/>
      <c r="AG801" s="10"/>
    </row>
    <row r="802" spans="32:33" x14ac:dyDescent="0.2">
      <c r="AF802" s="10"/>
      <c r="AG802" s="10"/>
    </row>
    <row r="803" spans="32:33" x14ac:dyDescent="0.2">
      <c r="AF803" s="10"/>
      <c r="AG803" s="10"/>
    </row>
    <row r="804" spans="32:33" x14ac:dyDescent="0.2">
      <c r="AF804" s="10"/>
      <c r="AG804" s="10"/>
    </row>
    <row r="805" spans="32:33" x14ac:dyDescent="0.2">
      <c r="AF805" s="10"/>
      <c r="AG805" s="10"/>
    </row>
    <row r="806" spans="32:33" x14ac:dyDescent="0.2">
      <c r="AF806" s="10"/>
      <c r="AG806" s="10"/>
    </row>
    <row r="807" spans="32:33" x14ac:dyDescent="0.2">
      <c r="AF807" s="10"/>
      <c r="AG807" s="10"/>
    </row>
    <row r="808" spans="32:33" x14ac:dyDescent="0.2">
      <c r="AF808" s="10"/>
      <c r="AG808" s="10"/>
    </row>
    <row r="809" spans="32:33" x14ac:dyDescent="0.2">
      <c r="AF809" s="10"/>
      <c r="AG809" s="10"/>
    </row>
    <row r="810" spans="32:33" x14ac:dyDescent="0.2">
      <c r="AF810" s="10"/>
      <c r="AG810" s="10"/>
    </row>
    <row r="811" spans="32:33" x14ac:dyDescent="0.2">
      <c r="AF811" s="10"/>
      <c r="AG811" s="10"/>
    </row>
    <row r="812" spans="32:33" x14ac:dyDescent="0.2">
      <c r="AF812" s="10"/>
      <c r="AG812" s="10"/>
    </row>
    <row r="813" spans="32:33" x14ac:dyDescent="0.2">
      <c r="AF813" s="10"/>
      <c r="AG813" s="10"/>
    </row>
    <row r="814" spans="32:33" x14ac:dyDescent="0.2">
      <c r="AF814" s="10"/>
      <c r="AG814" s="10"/>
    </row>
    <row r="815" spans="32:33" x14ac:dyDescent="0.2">
      <c r="AF815" s="10"/>
      <c r="AG815" s="10"/>
    </row>
    <row r="816" spans="32:33" x14ac:dyDescent="0.2">
      <c r="AF816" s="10"/>
      <c r="AG816" s="10"/>
    </row>
    <row r="817" spans="32:33" x14ac:dyDescent="0.2">
      <c r="AF817" s="10"/>
      <c r="AG817" s="10"/>
    </row>
    <row r="818" spans="32:33" x14ac:dyDescent="0.2">
      <c r="AF818" s="10"/>
      <c r="AG818" s="10"/>
    </row>
    <row r="819" spans="32:33" x14ac:dyDescent="0.2">
      <c r="AF819" s="10"/>
      <c r="AG819" s="10"/>
    </row>
    <row r="820" spans="32:33" x14ac:dyDescent="0.2">
      <c r="AF820" s="10"/>
      <c r="AG820" s="10"/>
    </row>
    <row r="821" spans="32:33" x14ac:dyDescent="0.2">
      <c r="AF821" s="10"/>
      <c r="AG821" s="10"/>
    </row>
    <row r="822" spans="32:33" x14ac:dyDescent="0.2">
      <c r="AF822" s="10"/>
      <c r="AG822" s="10"/>
    </row>
    <row r="823" spans="32:33" x14ac:dyDescent="0.2">
      <c r="AF823" s="10"/>
      <c r="AG823" s="10"/>
    </row>
    <row r="824" spans="32:33" x14ac:dyDescent="0.2">
      <c r="AF824" s="10"/>
      <c r="AG824" s="10"/>
    </row>
    <row r="825" spans="32:33" x14ac:dyDescent="0.2">
      <c r="AF825" s="10"/>
      <c r="AG825" s="10"/>
    </row>
    <row r="826" spans="32:33" x14ac:dyDescent="0.2">
      <c r="AF826" s="10"/>
      <c r="AG826" s="10"/>
    </row>
    <row r="827" spans="32:33" x14ac:dyDescent="0.2">
      <c r="AF827" s="10"/>
      <c r="AG827" s="10"/>
    </row>
    <row r="828" spans="32:33" x14ac:dyDescent="0.2">
      <c r="AF828" s="10"/>
      <c r="AG828" s="10"/>
    </row>
    <row r="829" spans="32:33" x14ac:dyDescent="0.2">
      <c r="AF829" s="10"/>
      <c r="AG829" s="10"/>
    </row>
    <row r="830" spans="32:33" x14ac:dyDescent="0.2">
      <c r="AF830" s="10"/>
      <c r="AG830" s="10"/>
    </row>
    <row r="831" spans="32:33" x14ac:dyDescent="0.2">
      <c r="AF831" s="10"/>
      <c r="AG831" s="10"/>
    </row>
    <row r="832" spans="32:33" x14ac:dyDescent="0.2">
      <c r="AF832" s="10"/>
      <c r="AG832" s="10"/>
    </row>
    <row r="833" spans="32:33" x14ac:dyDescent="0.2">
      <c r="AF833" s="10"/>
      <c r="AG833" s="10"/>
    </row>
    <row r="834" spans="32:33" x14ac:dyDescent="0.2">
      <c r="AF834" s="10"/>
      <c r="AG834" s="10"/>
    </row>
    <row r="835" spans="32:33" x14ac:dyDescent="0.2">
      <c r="AF835" s="10"/>
      <c r="AG835" s="10"/>
    </row>
    <row r="836" spans="32:33" x14ac:dyDescent="0.2">
      <c r="AF836" s="10"/>
      <c r="AG836" s="10"/>
    </row>
    <row r="837" spans="32:33" x14ac:dyDescent="0.2">
      <c r="AF837" s="10"/>
      <c r="AG837" s="10"/>
    </row>
    <row r="838" spans="32:33" x14ac:dyDescent="0.2">
      <c r="AF838" s="10"/>
      <c r="AG838" s="10"/>
    </row>
    <row r="839" spans="32:33" x14ac:dyDescent="0.2">
      <c r="AF839" s="10"/>
      <c r="AG839" s="10"/>
    </row>
    <row r="840" spans="32:33" x14ac:dyDescent="0.2">
      <c r="AF840" s="10"/>
      <c r="AG840" s="10"/>
    </row>
    <row r="841" spans="32:33" x14ac:dyDescent="0.2">
      <c r="AF841" s="10"/>
      <c r="AG841" s="10"/>
    </row>
    <row r="842" spans="32:33" x14ac:dyDescent="0.2">
      <c r="AF842" s="10"/>
      <c r="AG842" s="10"/>
    </row>
    <row r="843" spans="32:33" x14ac:dyDescent="0.2">
      <c r="AF843" s="10"/>
      <c r="AG843" s="10"/>
    </row>
    <row r="844" spans="32:33" x14ac:dyDescent="0.2">
      <c r="AF844" s="10"/>
      <c r="AG844" s="10"/>
    </row>
    <row r="845" spans="32:33" x14ac:dyDescent="0.2">
      <c r="AF845" s="10"/>
      <c r="AG845" s="10"/>
    </row>
    <row r="846" spans="32:33" x14ac:dyDescent="0.2">
      <c r="AF846" s="10"/>
      <c r="AG846" s="10"/>
    </row>
    <row r="847" spans="32:33" x14ac:dyDescent="0.2">
      <c r="AF847" s="10"/>
      <c r="AG847" s="10"/>
    </row>
    <row r="848" spans="32:33" x14ac:dyDescent="0.2">
      <c r="AF848" s="10"/>
      <c r="AG848" s="10"/>
    </row>
    <row r="849" spans="32:33" x14ac:dyDescent="0.2">
      <c r="AF849" s="10"/>
      <c r="AG849" s="10"/>
    </row>
    <row r="850" spans="32:33" x14ac:dyDescent="0.2">
      <c r="AF850" s="10"/>
      <c r="AG850" s="10"/>
    </row>
    <row r="851" spans="32:33" x14ac:dyDescent="0.2">
      <c r="AF851" s="10"/>
      <c r="AG851" s="10"/>
    </row>
    <row r="852" spans="32:33" x14ac:dyDescent="0.2">
      <c r="AF852" s="10"/>
      <c r="AG852" s="10"/>
    </row>
    <row r="853" spans="32:33" x14ac:dyDescent="0.2">
      <c r="AF853" s="10"/>
      <c r="AG853" s="10"/>
    </row>
    <row r="854" spans="32:33" x14ac:dyDescent="0.2">
      <c r="AF854" s="10"/>
      <c r="AG854" s="10"/>
    </row>
    <row r="855" spans="32:33" x14ac:dyDescent="0.2">
      <c r="AF855" s="10"/>
      <c r="AG855" s="10"/>
    </row>
    <row r="856" spans="32:33" x14ac:dyDescent="0.2">
      <c r="AF856" s="10"/>
      <c r="AG856" s="10"/>
    </row>
    <row r="857" spans="32:33" x14ac:dyDescent="0.2">
      <c r="AF857" s="10"/>
      <c r="AG857" s="10"/>
    </row>
    <row r="858" spans="32:33" x14ac:dyDescent="0.2">
      <c r="AF858" s="10"/>
      <c r="AG858" s="10"/>
    </row>
    <row r="859" spans="32:33" x14ac:dyDescent="0.2">
      <c r="AF859" s="10"/>
      <c r="AG859" s="10"/>
    </row>
    <row r="860" spans="32:33" x14ac:dyDescent="0.2">
      <c r="AF860" s="10"/>
      <c r="AG860" s="10"/>
    </row>
    <row r="861" spans="32:33" x14ac:dyDescent="0.2">
      <c r="AF861" s="10"/>
      <c r="AG861" s="10"/>
    </row>
    <row r="862" spans="32:33" x14ac:dyDescent="0.2">
      <c r="AF862" s="10"/>
      <c r="AG862" s="10"/>
    </row>
    <row r="863" spans="32:33" x14ac:dyDescent="0.2">
      <c r="AF863" s="10"/>
      <c r="AG863" s="10"/>
    </row>
    <row r="864" spans="32:33" x14ac:dyDescent="0.2">
      <c r="AF864" s="10"/>
      <c r="AG864" s="10"/>
    </row>
    <row r="865" spans="32:33" x14ac:dyDescent="0.2">
      <c r="AF865" s="10"/>
      <c r="AG865" s="10"/>
    </row>
    <row r="866" spans="32:33" x14ac:dyDescent="0.2">
      <c r="AF866" s="10"/>
      <c r="AG866" s="10"/>
    </row>
    <row r="867" spans="32:33" x14ac:dyDescent="0.2">
      <c r="AF867" s="10"/>
      <c r="AG867" s="10"/>
    </row>
    <row r="868" spans="32:33" x14ac:dyDescent="0.2">
      <c r="AF868" s="10"/>
      <c r="AG868" s="10"/>
    </row>
    <row r="869" spans="32:33" x14ac:dyDescent="0.2">
      <c r="AF869" s="10"/>
      <c r="AG869" s="10"/>
    </row>
    <row r="870" spans="32:33" x14ac:dyDescent="0.2">
      <c r="AF870" s="10"/>
      <c r="AG870" s="10"/>
    </row>
    <row r="871" spans="32:33" x14ac:dyDescent="0.2">
      <c r="AF871" s="10"/>
      <c r="AG871" s="10"/>
    </row>
    <row r="872" spans="32:33" x14ac:dyDescent="0.2">
      <c r="AF872" s="10"/>
      <c r="AG872" s="10"/>
    </row>
    <row r="873" spans="32:33" x14ac:dyDescent="0.2">
      <c r="AF873" s="10"/>
      <c r="AG873" s="10"/>
    </row>
    <row r="874" spans="32:33" x14ac:dyDescent="0.2">
      <c r="AF874" s="10"/>
      <c r="AG874" s="10"/>
    </row>
    <row r="875" spans="32:33" x14ac:dyDescent="0.2">
      <c r="AF875" s="10"/>
      <c r="AG875" s="10"/>
    </row>
    <row r="876" spans="32:33" x14ac:dyDescent="0.2">
      <c r="AF876" s="10"/>
      <c r="AG876" s="10"/>
    </row>
    <row r="877" spans="32:33" x14ac:dyDescent="0.2">
      <c r="AF877" s="10"/>
      <c r="AG877" s="10"/>
    </row>
    <row r="878" spans="32:33" x14ac:dyDescent="0.2">
      <c r="AF878" s="10"/>
      <c r="AG878" s="10"/>
    </row>
    <row r="879" spans="32:33" x14ac:dyDescent="0.2">
      <c r="AF879" s="10"/>
      <c r="AG879" s="10"/>
    </row>
    <row r="880" spans="32:33" x14ac:dyDescent="0.2">
      <c r="AF880" s="10"/>
      <c r="AG880" s="10"/>
    </row>
    <row r="881" spans="32:33" x14ac:dyDescent="0.2">
      <c r="AF881" s="10"/>
      <c r="AG881" s="10"/>
    </row>
    <row r="882" spans="32:33" x14ac:dyDescent="0.2">
      <c r="AF882" s="10"/>
      <c r="AG882" s="10"/>
    </row>
    <row r="883" spans="32:33" x14ac:dyDescent="0.2">
      <c r="AF883" s="10"/>
      <c r="AG883" s="10"/>
    </row>
    <row r="884" spans="32:33" x14ac:dyDescent="0.2">
      <c r="AF884" s="10"/>
      <c r="AG884" s="10"/>
    </row>
    <row r="885" spans="32:33" x14ac:dyDescent="0.2">
      <c r="AF885" s="10"/>
      <c r="AG885" s="10"/>
    </row>
    <row r="886" spans="32:33" x14ac:dyDescent="0.2">
      <c r="AF886" s="10"/>
      <c r="AG886" s="10"/>
    </row>
    <row r="887" spans="32:33" x14ac:dyDescent="0.2">
      <c r="AF887" s="10"/>
      <c r="AG887" s="10"/>
    </row>
    <row r="888" spans="32:33" x14ac:dyDescent="0.2">
      <c r="AF888" s="10"/>
      <c r="AG888" s="10"/>
    </row>
    <row r="889" spans="32:33" x14ac:dyDescent="0.2">
      <c r="AF889" s="10"/>
      <c r="AG889" s="10"/>
    </row>
    <row r="890" spans="32:33" x14ac:dyDescent="0.2">
      <c r="AF890" s="10"/>
      <c r="AG890" s="10"/>
    </row>
    <row r="891" spans="32:33" x14ac:dyDescent="0.2">
      <c r="AF891" s="10"/>
      <c r="AG891" s="10"/>
    </row>
    <row r="892" spans="32:33" x14ac:dyDescent="0.2">
      <c r="AF892" s="10"/>
      <c r="AG892" s="10"/>
    </row>
    <row r="893" spans="32:33" x14ac:dyDescent="0.2">
      <c r="AF893" s="10"/>
      <c r="AG893" s="10"/>
    </row>
    <row r="894" spans="32:33" x14ac:dyDescent="0.2">
      <c r="AF894" s="10"/>
      <c r="AG894" s="10"/>
    </row>
    <row r="895" spans="32:33" x14ac:dyDescent="0.2">
      <c r="AF895" s="10"/>
      <c r="AG895" s="10"/>
    </row>
    <row r="896" spans="32:33" x14ac:dyDescent="0.2">
      <c r="AF896" s="10"/>
      <c r="AG896" s="10"/>
    </row>
    <row r="897" spans="32:33" x14ac:dyDescent="0.2">
      <c r="AF897" s="10"/>
      <c r="AG897" s="10"/>
    </row>
    <row r="898" spans="32:33" x14ac:dyDescent="0.2">
      <c r="AF898" s="10"/>
      <c r="AG898" s="10"/>
    </row>
    <row r="899" spans="32:33" x14ac:dyDescent="0.2">
      <c r="AF899" s="10"/>
      <c r="AG899" s="10"/>
    </row>
    <row r="900" spans="32:33" x14ac:dyDescent="0.2">
      <c r="AF900" s="10"/>
      <c r="AG900" s="10"/>
    </row>
    <row r="901" spans="32:33" x14ac:dyDescent="0.2">
      <c r="AF901" s="10"/>
      <c r="AG901" s="10"/>
    </row>
    <row r="902" spans="32:33" x14ac:dyDescent="0.2">
      <c r="AF902" s="10"/>
      <c r="AG902" s="10"/>
    </row>
    <row r="903" spans="32:33" x14ac:dyDescent="0.2">
      <c r="AF903" s="10"/>
      <c r="AG903" s="10"/>
    </row>
    <row r="904" spans="32:33" x14ac:dyDescent="0.2">
      <c r="AF904" s="10"/>
      <c r="AG904" s="10"/>
    </row>
    <row r="905" spans="32:33" x14ac:dyDescent="0.2">
      <c r="AF905" s="10"/>
      <c r="AG905" s="10"/>
    </row>
    <row r="906" spans="32:33" x14ac:dyDescent="0.2">
      <c r="AF906" s="10"/>
      <c r="AG906" s="10"/>
    </row>
    <row r="907" spans="32:33" x14ac:dyDescent="0.2">
      <c r="AF907" s="10"/>
      <c r="AG907" s="10"/>
    </row>
    <row r="908" spans="32:33" x14ac:dyDescent="0.2">
      <c r="AF908" s="10"/>
      <c r="AG908" s="10"/>
    </row>
    <row r="909" spans="32:33" x14ac:dyDescent="0.2">
      <c r="AF909" s="10"/>
      <c r="AG909" s="10"/>
    </row>
    <row r="910" spans="32:33" x14ac:dyDescent="0.2">
      <c r="AF910" s="10"/>
      <c r="AG910" s="10"/>
    </row>
    <row r="911" spans="32:33" x14ac:dyDescent="0.2">
      <c r="AF911" s="10"/>
      <c r="AG911" s="10"/>
    </row>
    <row r="912" spans="32:33" x14ac:dyDescent="0.2">
      <c r="AF912" s="10"/>
      <c r="AG912" s="10"/>
    </row>
    <row r="913" spans="32:33" x14ac:dyDescent="0.2">
      <c r="AF913" s="10"/>
      <c r="AG913" s="10"/>
    </row>
    <row r="914" spans="32:33" x14ac:dyDescent="0.2">
      <c r="AF914" s="10"/>
      <c r="AG914" s="10"/>
    </row>
    <row r="915" spans="32:33" x14ac:dyDescent="0.2">
      <c r="AF915" s="10"/>
      <c r="AG915" s="10"/>
    </row>
    <row r="916" spans="32:33" x14ac:dyDescent="0.2">
      <c r="AF916" s="10"/>
      <c r="AG916" s="10"/>
    </row>
    <row r="917" spans="32:33" x14ac:dyDescent="0.2">
      <c r="AF917" s="10"/>
      <c r="AG917" s="10"/>
    </row>
    <row r="918" spans="32:33" x14ac:dyDescent="0.2">
      <c r="AF918" s="10"/>
      <c r="AG918" s="10"/>
    </row>
    <row r="919" spans="32:33" x14ac:dyDescent="0.2">
      <c r="AF919" s="10"/>
      <c r="AG919" s="10"/>
    </row>
    <row r="920" spans="32:33" x14ac:dyDescent="0.2">
      <c r="AF920" s="10"/>
      <c r="AG920" s="10"/>
    </row>
    <row r="921" spans="32:33" x14ac:dyDescent="0.2">
      <c r="AF921" s="10"/>
      <c r="AG921" s="10"/>
    </row>
    <row r="922" spans="32:33" x14ac:dyDescent="0.2">
      <c r="AF922" s="10"/>
      <c r="AG922" s="10"/>
    </row>
    <row r="923" spans="32:33" x14ac:dyDescent="0.2">
      <c r="AF923" s="10"/>
      <c r="AG923" s="10"/>
    </row>
    <row r="924" spans="32:33" x14ac:dyDescent="0.2">
      <c r="AF924" s="10"/>
      <c r="AG924" s="10"/>
    </row>
    <row r="925" spans="32:33" x14ac:dyDescent="0.2">
      <c r="AF925" s="10"/>
      <c r="AG925" s="10"/>
    </row>
    <row r="926" spans="32:33" x14ac:dyDescent="0.2">
      <c r="AF926" s="10"/>
      <c r="AG926" s="10"/>
    </row>
    <row r="927" spans="32:33" x14ac:dyDescent="0.2">
      <c r="AF927" s="10"/>
      <c r="AG927" s="10"/>
    </row>
    <row r="928" spans="32:33" x14ac:dyDescent="0.2">
      <c r="AF928" s="10"/>
      <c r="AG928" s="10"/>
    </row>
    <row r="929" spans="32:33" x14ac:dyDescent="0.2">
      <c r="AF929" s="10"/>
      <c r="AG929" s="10"/>
    </row>
    <row r="930" spans="32:33" x14ac:dyDescent="0.2">
      <c r="AF930" s="10"/>
      <c r="AG930" s="10"/>
    </row>
    <row r="931" spans="32:33" x14ac:dyDescent="0.2">
      <c r="AF931" s="10"/>
      <c r="AG931" s="10"/>
    </row>
    <row r="932" spans="32:33" x14ac:dyDescent="0.2">
      <c r="AF932" s="10"/>
      <c r="AG932" s="10"/>
    </row>
    <row r="933" spans="32:33" x14ac:dyDescent="0.2">
      <c r="AF933" s="10"/>
      <c r="AG933" s="10"/>
    </row>
    <row r="934" spans="32:33" x14ac:dyDescent="0.2">
      <c r="AF934" s="10"/>
      <c r="AG934" s="10"/>
    </row>
    <row r="935" spans="32:33" x14ac:dyDescent="0.2">
      <c r="AF935" s="10"/>
      <c r="AG935" s="10"/>
    </row>
    <row r="936" spans="32:33" x14ac:dyDescent="0.2">
      <c r="AF936" s="10"/>
      <c r="AG936" s="10"/>
    </row>
    <row r="937" spans="32:33" x14ac:dyDescent="0.2">
      <c r="AF937" s="10"/>
      <c r="AG937" s="10"/>
    </row>
    <row r="938" spans="32:33" x14ac:dyDescent="0.2">
      <c r="AF938" s="10"/>
      <c r="AG938" s="10"/>
    </row>
    <row r="939" spans="32:33" x14ac:dyDescent="0.2">
      <c r="AF939" s="10"/>
      <c r="AG939" s="10"/>
    </row>
    <row r="940" spans="32:33" x14ac:dyDescent="0.2">
      <c r="AF940" s="10"/>
      <c r="AG940" s="10"/>
    </row>
    <row r="941" spans="32:33" x14ac:dyDescent="0.2">
      <c r="AF941" s="10"/>
      <c r="AG941" s="10"/>
    </row>
    <row r="942" spans="32:33" x14ac:dyDescent="0.2">
      <c r="AF942" s="10"/>
      <c r="AG942" s="10"/>
    </row>
    <row r="943" spans="32:33" x14ac:dyDescent="0.2">
      <c r="AF943" s="10"/>
      <c r="AG943" s="10"/>
    </row>
    <row r="944" spans="32:33" x14ac:dyDescent="0.2">
      <c r="AF944" s="10"/>
      <c r="AG944" s="10"/>
    </row>
    <row r="945" spans="32:33" x14ac:dyDescent="0.2">
      <c r="AF945" s="10"/>
      <c r="AG945" s="10"/>
    </row>
    <row r="946" spans="32:33" x14ac:dyDescent="0.2">
      <c r="AF946" s="10"/>
      <c r="AG946" s="10"/>
    </row>
    <row r="947" spans="32:33" x14ac:dyDescent="0.2">
      <c r="AF947" s="10"/>
      <c r="AG947" s="10"/>
    </row>
    <row r="948" spans="32:33" x14ac:dyDescent="0.2">
      <c r="AF948" s="10"/>
      <c r="AG948" s="10"/>
    </row>
    <row r="949" spans="32:33" x14ac:dyDescent="0.2">
      <c r="AF949" s="10"/>
      <c r="AG949" s="10"/>
    </row>
    <row r="950" spans="32:33" x14ac:dyDescent="0.2">
      <c r="AF950" s="10"/>
      <c r="AG950" s="10"/>
    </row>
    <row r="951" spans="32:33" x14ac:dyDescent="0.2">
      <c r="AF951" s="10"/>
      <c r="AG951" s="10"/>
    </row>
    <row r="952" spans="32:33" x14ac:dyDescent="0.2">
      <c r="AF952" s="10"/>
      <c r="AG952" s="10"/>
    </row>
    <row r="953" spans="32:33" x14ac:dyDescent="0.2">
      <c r="AF953" s="10"/>
      <c r="AG953" s="10"/>
    </row>
    <row r="954" spans="32:33" x14ac:dyDescent="0.2">
      <c r="AF954" s="10"/>
      <c r="AG954" s="10"/>
    </row>
    <row r="955" spans="32:33" x14ac:dyDescent="0.2">
      <c r="AF955" s="10"/>
      <c r="AG955" s="10"/>
    </row>
    <row r="956" spans="32:33" x14ac:dyDescent="0.2">
      <c r="AF956" s="10"/>
      <c r="AG956" s="10"/>
    </row>
    <row r="957" spans="32:33" x14ac:dyDescent="0.2">
      <c r="AF957" s="10"/>
      <c r="AG957" s="10"/>
    </row>
    <row r="958" spans="32:33" x14ac:dyDescent="0.2">
      <c r="AF958" s="10"/>
      <c r="AG958" s="10"/>
    </row>
    <row r="959" spans="32:33" x14ac:dyDescent="0.2">
      <c r="AF959" s="10"/>
      <c r="AG959" s="10"/>
    </row>
    <row r="960" spans="32:33" x14ac:dyDescent="0.2">
      <c r="AF960" s="10"/>
      <c r="AG960" s="10"/>
    </row>
    <row r="961" spans="32:33" x14ac:dyDescent="0.2">
      <c r="AF961" s="10"/>
      <c r="AG961" s="10"/>
    </row>
    <row r="962" spans="32:33" x14ac:dyDescent="0.2">
      <c r="AF962" s="10"/>
      <c r="AG962" s="10"/>
    </row>
    <row r="963" spans="32:33" x14ac:dyDescent="0.2">
      <c r="AF963" s="10"/>
      <c r="AG963" s="10"/>
    </row>
    <row r="964" spans="32:33" x14ac:dyDescent="0.2">
      <c r="AF964" s="10"/>
      <c r="AG964" s="10"/>
    </row>
    <row r="965" spans="32:33" x14ac:dyDescent="0.2">
      <c r="AF965" s="10"/>
      <c r="AG965" s="10"/>
    </row>
    <row r="966" spans="32:33" x14ac:dyDescent="0.2">
      <c r="AF966" s="10"/>
      <c r="AG966" s="10"/>
    </row>
    <row r="967" spans="32:33" x14ac:dyDescent="0.2">
      <c r="AF967" s="10"/>
      <c r="AG967" s="10"/>
    </row>
    <row r="968" spans="32:33" x14ac:dyDescent="0.2">
      <c r="AF968" s="10"/>
      <c r="AG968" s="10"/>
    </row>
    <row r="969" spans="32:33" x14ac:dyDescent="0.2">
      <c r="AF969" s="10"/>
      <c r="AG969" s="10"/>
    </row>
    <row r="970" spans="32:33" x14ac:dyDescent="0.2">
      <c r="AF970" s="10"/>
      <c r="AG970" s="10"/>
    </row>
    <row r="971" spans="32:33" x14ac:dyDescent="0.2">
      <c r="AF971" s="10"/>
      <c r="AG971" s="10"/>
    </row>
    <row r="972" spans="32:33" x14ac:dyDescent="0.2">
      <c r="AF972" s="10"/>
      <c r="AG972" s="10"/>
    </row>
    <row r="973" spans="32:33" x14ac:dyDescent="0.2">
      <c r="AF973" s="10"/>
      <c r="AG973" s="10"/>
    </row>
    <row r="974" spans="32:33" x14ac:dyDescent="0.2">
      <c r="AF974" s="10"/>
      <c r="AG974" s="10"/>
    </row>
    <row r="975" spans="32:33" x14ac:dyDescent="0.2">
      <c r="AF975" s="10"/>
      <c r="AG975" s="10"/>
    </row>
    <row r="976" spans="32:33" x14ac:dyDescent="0.2">
      <c r="AF976" s="10"/>
      <c r="AG976" s="10"/>
    </row>
    <row r="977" spans="32:33" x14ac:dyDescent="0.2">
      <c r="AF977" s="10"/>
      <c r="AG977" s="10"/>
    </row>
    <row r="978" spans="32:33" x14ac:dyDescent="0.2">
      <c r="AF978" s="10"/>
      <c r="AG978" s="10"/>
    </row>
    <row r="979" spans="32:33" x14ac:dyDescent="0.2">
      <c r="AF979" s="10"/>
      <c r="AG979" s="10"/>
    </row>
    <row r="980" spans="32:33" x14ac:dyDescent="0.2">
      <c r="AF980" s="10"/>
      <c r="AG980" s="10"/>
    </row>
    <row r="981" spans="32:33" x14ac:dyDescent="0.2">
      <c r="AF981" s="10"/>
      <c r="AG981" s="10"/>
    </row>
    <row r="982" spans="32:33" x14ac:dyDescent="0.2">
      <c r="AF982" s="10"/>
      <c r="AG982" s="10"/>
    </row>
    <row r="983" spans="32:33" x14ac:dyDescent="0.2">
      <c r="AF983" s="10"/>
      <c r="AG983" s="10"/>
    </row>
    <row r="984" spans="32:33" x14ac:dyDescent="0.2">
      <c r="AF984" s="10"/>
      <c r="AG984" s="10"/>
    </row>
    <row r="985" spans="32:33" x14ac:dyDescent="0.2">
      <c r="AF985" s="10"/>
      <c r="AG985" s="10"/>
    </row>
    <row r="986" spans="32:33" x14ac:dyDescent="0.2">
      <c r="AF986" s="10"/>
      <c r="AG986" s="10"/>
    </row>
    <row r="987" spans="32:33" x14ac:dyDescent="0.2">
      <c r="AF987" s="10"/>
      <c r="AG987" s="10"/>
    </row>
    <row r="988" spans="32:33" x14ac:dyDescent="0.2">
      <c r="AF988" s="10"/>
      <c r="AG988" s="10"/>
    </row>
    <row r="989" spans="32:33" x14ac:dyDescent="0.2">
      <c r="AF989" s="10"/>
      <c r="AG989" s="10"/>
    </row>
    <row r="990" spans="32:33" x14ac:dyDescent="0.2">
      <c r="AF990" s="10"/>
      <c r="AG990" s="10"/>
    </row>
    <row r="991" spans="32:33" x14ac:dyDescent="0.2">
      <c r="AF991" s="10"/>
      <c r="AG991" s="10"/>
    </row>
    <row r="992" spans="32:33" x14ac:dyDescent="0.2">
      <c r="AF992" s="10"/>
      <c r="AG992" s="10"/>
    </row>
    <row r="993" spans="32:33" x14ac:dyDescent="0.2">
      <c r="AF993" s="10"/>
      <c r="AG993" s="10"/>
    </row>
    <row r="994" spans="32:33" x14ac:dyDescent="0.2">
      <c r="AF994" s="10"/>
      <c r="AG994" s="10"/>
    </row>
    <row r="995" spans="32:33" x14ac:dyDescent="0.2">
      <c r="AF995" s="10"/>
      <c r="AG995" s="10"/>
    </row>
    <row r="996" spans="32:33" x14ac:dyDescent="0.2">
      <c r="AF996" s="10"/>
      <c r="AG996" s="10"/>
    </row>
    <row r="997" spans="32:33" x14ac:dyDescent="0.2">
      <c r="AF997" s="10"/>
      <c r="AG997" s="10"/>
    </row>
    <row r="998" spans="32:33" x14ac:dyDescent="0.2">
      <c r="AF998" s="10"/>
      <c r="AG998" s="10"/>
    </row>
    <row r="999" spans="32:33" x14ac:dyDescent="0.2">
      <c r="AF999" s="10"/>
      <c r="AG999" s="10"/>
    </row>
    <row r="1000" spans="32:33" x14ac:dyDescent="0.2">
      <c r="AF1000" s="10"/>
      <c r="AG1000" s="1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23"/>
  <sheetViews>
    <sheetView workbookViewId="0">
      <selection activeCell="L1" sqref="L1"/>
    </sheetView>
  </sheetViews>
  <sheetFormatPr defaultColWidth="12.5703125" defaultRowHeight="15.75" customHeight="1" x14ac:dyDescent="0.2"/>
  <sheetData>
    <row r="1" spans="1:20" x14ac:dyDescent="0.2">
      <c r="A1" s="1" t="s">
        <v>0</v>
      </c>
      <c r="B1" s="11">
        <v>45964</v>
      </c>
      <c r="C1" s="11">
        <v>45966</v>
      </c>
      <c r="D1" s="6" t="s">
        <v>52</v>
      </c>
      <c r="E1" s="11">
        <v>45968</v>
      </c>
      <c r="F1" s="6" t="s">
        <v>52</v>
      </c>
      <c r="G1" s="11">
        <v>45971</v>
      </c>
      <c r="H1" s="6" t="s">
        <v>52</v>
      </c>
      <c r="I1" s="11">
        <v>45973</v>
      </c>
      <c r="J1" s="6" t="s">
        <v>52</v>
      </c>
      <c r="K1" s="11">
        <v>45975</v>
      </c>
      <c r="L1" s="6" t="s">
        <v>53</v>
      </c>
      <c r="M1" s="11">
        <v>45978</v>
      </c>
      <c r="N1" s="6" t="s">
        <v>54</v>
      </c>
      <c r="O1" s="12">
        <v>45979</v>
      </c>
      <c r="P1" s="6" t="s">
        <v>55</v>
      </c>
      <c r="Q1" s="11">
        <v>45985</v>
      </c>
      <c r="R1" s="6" t="s">
        <v>56</v>
      </c>
      <c r="S1" s="13">
        <v>45992</v>
      </c>
      <c r="T1" s="6" t="s">
        <v>57</v>
      </c>
    </row>
    <row r="2" spans="1:20" x14ac:dyDescent="0.2">
      <c r="A2" s="6">
        <v>1</v>
      </c>
      <c r="B2" s="7">
        <v>26.62</v>
      </c>
      <c r="C2" s="8">
        <v>26.93</v>
      </c>
      <c r="D2" s="7">
        <f t="shared" ref="D2:D21" si="0">C2-B2</f>
        <v>0.30999999999999872</v>
      </c>
      <c r="E2" s="7">
        <v>27.32</v>
      </c>
      <c r="F2" s="8">
        <f t="shared" ref="F2:F21" si="1">E2-C2</f>
        <v>0.39000000000000057</v>
      </c>
      <c r="G2" s="8">
        <v>28.13</v>
      </c>
      <c r="H2" s="7">
        <f t="shared" ref="H2:H21" si="2">G2-E2</f>
        <v>0.80999999999999872</v>
      </c>
      <c r="I2" s="7">
        <v>27.55</v>
      </c>
      <c r="J2" s="8">
        <f t="shared" ref="J2:J21" si="3">I2-G2</f>
        <v>-0.57999999999999829</v>
      </c>
      <c r="K2" s="8">
        <v>27.27</v>
      </c>
      <c r="L2" s="8">
        <f t="shared" ref="L2:L21" si="4">K2-I2</f>
        <v>-0.28000000000000114</v>
      </c>
      <c r="M2" s="6">
        <v>29.01</v>
      </c>
      <c r="N2" s="6">
        <f t="shared" ref="N2:N21" si="5">M2-B2</f>
        <v>2.3900000000000006</v>
      </c>
      <c r="O2" s="14">
        <v>29.45</v>
      </c>
      <c r="P2" s="6">
        <f t="shared" ref="P2:P21" si="6">O2-M2</f>
        <v>0.43999999999999773</v>
      </c>
      <c r="Q2" s="6">
        <v>33.42</v>
      </c>
      <c r="R2" s="6">
        <f t="shared" ref="R2:R21" si="7">Q2-O2</f>
        <v>3.9700000000000024</v>
      </c>
      <c r="S2" s="6">
        <v>35</v>
      </c>
      <c r="T2" s="6">
        <f t="shared" ref="T2:T21" si="8">S2-Q2</f>
        <v>1.5799999999999983</v>
      </c>
    </row>
    <row r="3" spans="1:20" x14ac:dyDescent="0.2">
      <c r="A3" s="6">
        <v>2</v>
      </c>
      <c r="B3" s="7">
        <v>26.23</v>
      </c>
      <c r="C3" s="8">
        <v>25.85</v>
      </c>
      <c r="D3" s="7">
        <f t="shared" si="0"/>
        <v>-0.37999999999999901</v>
      </c>
      <c r="E3" s="7">
        <v>26.21</v>
      </c>
      <c r="F3" s="8">
        <f t="shared" si="1"/>
        <v>0.35999999999999943</v>
      </c>
      <c r="G3" s="8">
        <v>27.31</v>
      </c>
      <c r="H3" s="7">
        <f t="shared" si="2"/>
        <v>1.0999999999999979</v>
      </c>
      <c r="I3" s="7">
        <v>26.99</v>
      </c>
      <c r="J3" s="8">
        <f t="shared" si="3"/>
        <v>-0.32000000000000028</v>
      </c>
      <c r="K3" s="8">
        <v>26.45</v>
      </c>
      <c r="L3" s="8">
        <f t="shared" si="4"/>
        <v>-0.53999999999999915</v>
      </c>
      <c r="M3" s="6">
        <v>27.85</v>
      </c>
      <c r="N3" s="6">
        <f t="shared" si="5"/>
        <v>1.620000000000001</v>
      </c>
      <c r="O3" s="14">
        <v>28.77</v>
      </c>
      <c r="P3" s="6">
        <f t="shared" si="6"/>
        <v>0.91999999999999815</v>
      </c>
      <c r="Q3" s="6">
        <v>30.99</v>
      </c>
      <c r="R3" s="6">
        <f t="shared" si="7"/>
        <v>2.2199999999999989</v>
      </c>
      <c r="S3" s="6">
        <v>32.82</v>
      </c>
      <c r="T3" s="6">
        <f t="shared" si="8"/>
        <v>1.8300000000000018</v>
      </c>
    </row>
    <row r="4" spans="1:20" x14ac:dyDescent="0.2">
      <c r="A4" s="6">
        <v>3</v>
      </c>
      <c r="B4" s="7">
        <v>27.03</v>
      </c>
      <c r="C4" s="8">
        <v>27.48</v>
      </c>
      <c r="D4" s="7">
        <f t="shared" si="0"/>
        <v>0.44999999999999929</v>
      </c>
      <c r="E4" s="7">
        <v>27.44</v>
      </c>
      <c r="F4" s="8">
        <f t="shared" si="1"/>
        <v>-3.9999999999999147E-2</v>
      </c>
      <c r="G4" s="8">
        <v>29.21</v>
      </c>
      <c r="H4" s="7">
        <f t="shared" si="2"/>
        <v>1.7699999999999996</v>
      </c>
      <c r="I4" s="7">
        <v>28.57</v>
      </c>
      <c r="J4" s="8">
        <f t="shared" si="3"/>
        <v>-0.64000000000000057</v>
      </c>
      <c r="K4" s="8">
        <v>28.35</v>
      </c>
      <c r="L4" s="8">
        <f t="shared" si="4"/>
        <v>-0.21999999999999886</v>
      </c>
      <c r="M4" s="6">
        <v>30.23</v>
      </c>
      <c r="N4" s="6">
        <f t="shared" si="5"/>
        <v>3.1999999999999993</v>
      </c>
      <c r="O4" s="14">
        <v>31.66</v>
      </c>
      <c r="P4" s="6">
        <f t="shared" si="6"/>
        <v>1.4299999999999997</v>
      </c>
      <c r="Q4" s="6">
        <v>36.03</v>
      </c>
      <c r="R4" s="6">
        <f t="shared" si="7"/>
        <v>4.370000000000001</v>
      </c>
      <c r="S4" s="6">
        <v>38.18</v>
      </c>
      <c r="T4" s="6">
        <f t="shared" si="8"/>
        <v>2.1499999999999986</v>
      </c>
    </row>
    <row r="5" spans="1:20" x14ac:dyDescent="0.2">
      <c r="A5" s="6">
        <v>4</v>
      </c>
      <c r="B5" s="7">
        <v>26.64</v>
      </c>
      <c r="C5" s="8">
        <v>26.27</v>
      </c>
      <c r="D5" s="7">
        <f t="shared" si="0"/>
        <v>-0.37000000000000099</v>
      </c>
      <c r="E5" s="7">
        <v>26.83</v>
      </c>
      <c r="F5" s="8">
        <f t="shared" si="1"/>
        <v>0.55999999999999872</v>
      </c>
      <c r="G5" s="8">
        <v>27.85</v>
      </c>
      <c r="H5" s="7">
        <f t="shared" si="2"/>
        <v>1.0200000000000031</v>
      </c>
      <c r="I5" s="7">
        <v>27.2</v>
      </c>
      <c r="J5" s="8">
        <f t="shared" si="3"/>
        <v>-0.65000000000000213</v>
      </c>
      <c r="K5" s="8">
        <v>27</v>
      </c>
      <c r="L5" s="8">
        <f t="shared" si="4"/>
        <v>-0.19999999999999929</v>
      </c>
      <c r="M5" s="6">
        <v>28.57</v>
      </c>
      <c r="N5" s="6">
        <f t="shared" si="5"/>
        <v>1.9299999999999997</v>
      </c>
      <c r="O5" s="14">
        <v>28.83</v>
      </c>
      <c r="P5" s="6">
        <f t="shared" si="6"/>
        <v>0.25999999999999801</v>
      </c>
      <c r="Q5" s="6">
        <v>31.51</v>
      </c>
      <c r="R5" s="6">
        <f t="shared" si="7"/>
        <v>2.6800000000000033</v>
      </c>
      <c r="S5" s="6">
        <v>33.340000000000003</v>
      </c>
      <c r="T5" s="6">
        <f t="shared" si="8"/>
        <v>1.8300000000000018</v>
      </c>
    </row>
    <row r="6" spans="1:20" x14ac:dyDescent="0.2">
      <c r="A6" s="6">
        <v>5</v>
      </c>
      <c r="B6" s="7">
        <v>23.75</v>
      </c>
      <c r="C6" s="8">
        <v>23.6</v>
      </c>
      <c r="D6" s="7">
        <f t="shared" si="0"/>
        <v>-0.14999999999999858</v>
      </c>
      <c r="E6" s="7">
        <v>24.03</v>
      </c>
      <c r="F6" s="8">
        <f t="shared" si="1"/>
        <v>0.42999999999999972</v>
      </c>
      <c r="G6" s="8">
        <v>25.44</v>
      </c>
      <c r="H6" s="7">
        <f t="shared" si="2"/>
        <v>1.4100000000000001</v>
      </c>
      <c r="I6" s="7">
        <v>25</v>
      </c>
      <c r="J6" s="8">
        <f t="shared" si="3"/>
        <v>-0.44000000000000128</v>
      </c>
      <c r="K6" s="8">
        <v>24.14</v>
      </c>
      <c r="L6" s="8">
        <f t="shared" si="4"/>
        <v>-0.85999999999999943</v>
      </c>
      <c r="M6" s="6">
        <v>26.01</v>
      </c>
      <c r="N6" s="6">
        <f t="shared" si="5"/>
        <v>2.2600000000000016</v>
      </c>
      <c r="O6" s="14">
        <v>26.3</v>
      </c>
      <c r="P6" s="6">
        <f t="shared" si="6"/>
        <v>0.28999999999999915</v>
      </c>
      <c r="Q6" s="6">
        <v>28.3</v>
      </c>
      <c r="R6" s="6">
        <f t="shared" si="7"/>
        <v>2</v>
      </c>
      <c r="S6" s="6">
        <v>28.78</v>
      </c>
      <c r="T6" s="6">
        <f t="shared" si="8"/>
        <v>0.48000000000000043</v>
      </c>
    </row>
    <row r="7" spans="1:20" x14ac:dyDescent="0.2">
      <c r="A7" s="6">
        <v>6</v>
      </c>
      <c r="B7" s="7">
        <v>27.54</v>
      </c>
      <c r="C7" s="8">
        <v>25.2</v>
      </c>
      <c r="D7" s="7">
        <f t="shared" si="0"/>
        <v>-2.34</v>
      </c>
      <c r="E7" s="7">
        <v>26.38</v>
      </c>
      <c r="F7" s="8">
        <f t="shared" si="1"/>
        <v>1.1799999999999997</v>
      </c>
      <c r="G7" s="8">
        <v>27.22</v>
      </c>
      <c r="H7" s="7">
        <f t="shared" si="2"/>
        <v>0.83999999999999986</v>
      </c>
      <c r="I7" s="7">
        <v>27.53</v>
      </c>
      <c r="J7" s="8">
        <f t="shared" si="3"/>
        <v>0.31000000000000227</v>
      </c>
      <c r="K7" s="8">
        <v>26.89</v>
      </c>
      <c r="L7" s="8">
        <f t="shared" si="4"/>
        <v>-0.64000000000000057</v>
      </c>
      <c r="M7" s="6">
        <v>27.89</v>
      </c>
      <c r="N7" s="6">
        <f t="shared" si="5"/>
        <v>0.35000000000000142</v>
      </c>
      <c r="O7" s="14">
        <v>29.11</v>
      </c>
      <c r="P7" s="6">
        <f t="shared" si="6"/>
        <v>1.2199999999999989</v>
      </c>
      <c r="Q7" s="6">
        <v>31.97</v>
      </c>
      <c r="R7" s="6">
        <f t="shared" si="7"/>
        <v>2.8599999999999994</v>
      </c>
      <c r="S7" s="6">
        <v>35.67</v>
      </c>
      <c r="T7" s="6">
        <f t="shared" si="8"/>
        <v>3.7000000000000028</v>
      </c>
    </row>
    <row r="8" spans="1:20" x14ac:dyDescent="0.2">
      <c r="A8" s="6">
        <v>7</v>
      </c>
      <c r="B8" s="7">
        <v>26.44</v>
      </c>
      <c r="C8" s="8">
        <v>25.36</v>
      </c>
      <c r="D8" s="7">
        <f t="shared" si="0"/>
        <v>-1.0800000000000018</v>
      </c>
      <c r="E8" s="7">
        <v>26.15</v>
      </c>
      <c r="F8" s="8">
        <f t="shared" si="1"/>
        <v>0.78999999999999915</v>
      </c>
      <c r="G8" s="8">
        <v>25.82</v>
      </c>
      <c r="H8" s="7">
        <f t="shared" si="2"/>
        <v>-0.32999999999999829</v>
      </c>
      <c r="I8" s="7">
        <v>26.23</v>
      </c>
      <c r="J8" s="8">
        <f t="shared" si="3"/>
        <v>0.41000000000000014</v>
      </c>
      <c r="K8" s="8">
        <v>26</v>
      </c>
      <c r="L8" s="8">
        <f t="shared" si="4"/>
        <v>-0.23000000000000043</v>
      </c>
      <c r="M8" s="6">
        <v>27.85</v>
      </c>
      <c r="N8" s="6">
        <f t="shared" si="5"/>
        <v>1.4100000000000001</v>
      </c>
      <c r="O8" s="14">
        <v>29.1</v>
      </c>
      <c r="P8" s="6">
        <f t="shared" si="6"/>
        <v>1.25</v>
      </c>
      <c r="Q8" s="6">
        <v>33.159999999999997</v>
      </c>
      <c r="R8" s="6">
        <f t="shared" si="7"/>
        <v>4.0599999999999952</v>
      </c>
      <c r="S8" s="6">
        <v>35.479999999999997</v>
      </c>
      <c r="T8" s="6">
        <f t="shared" si="8"/>
        <v>2.3200000000000003</v>
      </c>
    </row>
    <row r="9" spans="1:20" x14ac:dyDescent="0.2">
      <c r="A9" s="6">
        <v>8</v>
      </c>
      <c r="B9" s="7">
        <v>28.54</v>
      </c>
      <c r="C9" s="8">
        <v>29.15</v>
      </c>
      <c r="D9" s="7">
        <f t="shared" si="0"/>
        <v>0.60999999999999943</v>
      </c>
      <c r="E9" s="7">
        <v>28.22</v>
      </c>
      <c r="F9" s="8">
        <f t="shared" si="1"/>
        <v>-0.92999999999999972</v>
      </c>
      <c r="G9" s="8">
        <v>28.7</v>
      </c>
      <c r="H9" s="7">
        <f t="shared" si="2"/>
        <v>0.48000000000000043</v>
      </c>
      <c r="I9" s="7">
        <v>28.82</v>
      </c>
      <c r="J9" s="8">
        <f t="shared" si="3"/>
        <v>0.12000000000000099</v>
      </c>
      <c r="K9" s="8">
        <v>28.38</v>
      </c>
      <c r="L9" s="8">
        <f t="shared" si="4"/>
        <v>-0.44000000000000128</v>
      </c>
      <c r="M9" s="6">
        <v>30.75</v>
      </c>
      <c r="N9" s="6">
        <f t="shared" si="5"/>
        <v>2.2100000000000009</v>
      </c>
      <c r="O9" s="14">
        <v>31.32</v>
      </c>
      <c r="P9" s="6">
        <f t="shared" si="6"/>
        <v>0.57000000000000028</v>
      </c>
      <c r="Q9" s="6">
        <v>34.51</v>
      </c>
      <c r="R9" s="6">
        <f t="shared" si="7"/>
        <v>3.1899999999999977</v>
      </c>
      <c r="S9" s="6">
        <v>36.19</v>
      </c>
      <c r="T9" s="6">
        <f t="shared" si="8"/>
        <v>1.6799999999999997</v>
      </c>
    </row>
    <row r="10" spans="1:20" x14ac:dyDescent="0.2">
      <c r="A10" s="6">
        <v>9</v>
      </c>
      <c r="B10" s="7">
        <v>27.39</v>
      </c>
      <c r="C10" s="8">
        <v>26.28</v>
      </c>
      <c r="D10" s="7">
        <f t="shared" si="0"/>
        <v>-1.1099999999999994</v>
      </c>
      <c r="E10" s="7">
        <v>27.18</v>
      </c>
      <c r="F10" s="8">
        <f t="shared" si="1"/>
        <v>0.89999999999999858</v>
      </c>
      <c r="G10" s="8">
        <v>26.01</v>
      </c>
      <c r="H10" s="7">
        <f t="shared" si="2"/>
        <v>-1.1699999999999982</v>
      </c>
      <c r="I10" s="7">
        <v>27.33</v>
      </c>
      <c r="J10" s="8">
        <f t="shared" si="3"/>
        <v>1.3199999999999967</v>
      </c>
      <c r="K10" s="8">
        <v>27.83</v>
      </c>
      <c r="L10" s="8">
        <f t="shared" si="4"/>
        <v>0.5</v>
      </c>
      <c r="M10" s="6">
        <v>29.76</v>
      </c>
      <c r="N10" s="6">
        <f t="shared" si="5"/>
        <v>2.370000000000001</v>
      </c>
      <c r="O10" s="14">
        <v>30.24</v>
      </c>
      <c r="P10" s="6">
        <f t="shared" si="6"/>
        <v>0.47999999999999687</v>
      </c>
      <c r="Q10" s="6">
        <v>32.83</v>
      </c>
      <c r="R10" s="6">
        <f t="shared" si="7"/>
        <v>2.59</v>
      </c>
      <c r="S10" s="6">
        <v>34.6</v>
      </c>
      <c r="T10" s="6">
        <f t="shared" si="8"/>
        <v>1.7700000000000031</v>
      </c>
    </row>
    <row r="11" spans="1:20" x14ac:dyDescent="0.2">
      <c r="A11" s="6">
        <v>10</v>
      </c>
      <c r="B11" s="7">
        <v>25.37</v>
      </c>
      <c r="C11" s="8">
        <v>25.48</v>
      </c>
      <c r="D11" s="7">
        <f t="shared" si="0"/>
        <v>0.10999999999999943</v>
      </c>
      <c r="E11" s="7">
        <v>25.9</v>
      </c>
      <c r="F11" s="8">
        <f t="shared" si="1"/>
        <v>0.41999999999999815</v>
      </c>
      <c r="G11" s="8">
        <v>26.19</v>
      </c>
      <c r="H11" s="7">
        <f t="shared" si="2"/>
        <v>0.2900000000000027</v>
      </c>
      <c r="I11" s="7">
        <v>25.9</v>
      </c>
      <c r="J11" s="8">
        <f t="shared" si="3"/>
        <v>-0.2900000000000027</v>
      </c>
      <c r="K11" s="8">
        <v>25.03</v>
      </c>
      <c r="L11" s="8">
        <f t="shared" si="4"/>
        <v>-0.86999999999999744</v>
      </c>
      <c r="M11" s="6">
        <v>27.11</v>
      </c>
      <c r="N11" s="6">
        <f t="shared" si="5"/>
        <v>1.7399999999999984</v>
      </c>
      <c r="O11" s="14">
        <v>27.34</v>
      </c>
      <c r="P11" s="6">
        <f t="shared" si="6"/>
        <v>0.23000000000000043</v>
      </c>
      <c r="Q11" s="6">
        <v>29.56</v>
      </c>
      <c r="R11" s="6">
        <f t="shared" si="7"/>
        <v>2.2199999999999989</v>
      </c>
      <c r="S11" s="6">
        <v>31.72</v>
      </c>
      <c r="T11" s="6">
        <f t="shared" si="8"/>
        <v>2.16</v>
      </c>
    </row>
    <row r="12" spans="1:20" x14ac:dyDescent="0.2">
      <c r="A12" s="6">
        <v>11</v>
      </c>
      <c r="B12" s="7">
        <v>28.99</v>
      </c>
      <c r="C12" s="8">
        <v>28.18</v>
      </c>
      <c r="D12" s="7">
        <f t="shared" si="0"/>
        <v>-0.80999999999999872</v>
      </c>
      <c r="E12" s="7">
        <v>28.71</v>
      </c>
      <c r="F12" s="8">
        <f t="shared" si="1"/>
        <v>0.53000000000000114</v>
      </c>
      <c r="G12" s="8">
        <v>29.87</v>
      </c>
      <c r="H12" s="7">
        <f t="shared" si="2"/>
        <v>1.1600000000000001</v>
      </c>
      <c r="I12" s="7">
        <v>28.1</v>
      </c>
      <c r="J12" s="8">
        <f t="shared" si="3"/>
        <v>-1.7699999999999996</v>
      </c>
      <c r="K12" s="8">
        <v>27.31</v>
      </c>
      <c r="L12" s="8">
        <f t="shared" si="4"/>
        <v>-0.7900000000000027</v>
      </c>
      <c r="M12" s="6">
        <v>28.67</v>
      </c>
      <c r="N12" s="6">
        <f t="shared" si="5"/>
        <v>-0.31999999999999673</v>
      </c>
      <c r="O12" s="14">
        <v>28.83</v>
      </c>
      <c r="P12" s="6">
        <f t="shared" si="6"/>
        <v>0.15999999999999659</v>
      </c>
      <c r="Q12" s="6">
        <v>31.52</v>
      </c>
      <c r="R12" s="6">
        <f t="shared" si="7"/>
        <v>2.6900000000000013</v>
      </c>
      <c r="S12" s="6">
        <v>33.54</v>
      </c>
      <c r="T12" s="6">
        <f t="shared" si="8"/>
        <v>2.0199999999999996</v>
      </c>
    </row>
    <row r="13" spans="1:20" x14ac:dyDescent="0.2">
      <c r="A13" s="6">
        <v>12</v>
      </c>
      <c r="B13" s="7">
        <v>27.35</v>
      </c>
      <c r="C13" s="8">
        <v>25.93</v>
      </c>
      <c r="D13" s="7">
        <f t="shared" si="0"/>
        <v>-1.4200000000000017</v>
      </c>
      <c r="E13" s="7">
        <v>26.37</v>
      </c>
      <c r="F13" s="8">
        <f t="shared" si="1"/>
        <v>0.44000000000000128</v>
      </c>
      <c r="G13" s="8">
        <v>27.03</v>
      </c>
      <c r="H13" s="7">
        <f t="shared" si="2"/>
        <v>0.66000000000000014</v>
      </c>
      <c r="I13" s="7">
        <v>26.55</v>
      </c>
      <c r="J13" s="8">
        <f t="shared" si="3"/>
        <v>-0.48000000000000043</v>
      </c>
      <c r="K13" s="8">
        <v>26.47</v>
      </c>
      <c r="L13" s="8">
        <f t="shared" si="4"/>
        <v>-8.0000000000001847E-2</v>
      </c>
      <c r="M13" s="6">
        <v>27.35</v>
      </c>
      <c r="N13" s="6">
        <f t="shared" si="5"/>
        <v>0</v>
      </c>
      <c r="O13" s="14">
        <v>28.45</v>
      </c>
      <c r="P13" s="6">
        <f t="shared" si="6"/>
        <v>1.0999999999999979</v>
      </c>
      <c r="Q13" s="6">
        <v>30.03</v>
      </c>
      <c r="R13" s="6">
        <f t="shared" si="7"/>
        <v>1.5800000000000018</v>
      </c>
      <c r="S13" s="6">
        <v>30.29</v>
      </c>
      <c r="T13" s="6">
        <f t="shared" si="8"/>
        <v>0.25999999999999801</v>
      </c>
    </row>
    <row r="14" spans="1:20" x14ac:dyDescent="0.2">
      <c r="A14" s="6">
        <v>13</v>
      </c>
      <c r="B14" s="7">
        <v>26.36</v>
      </c>
      <c r="C14" s="8">
        <v>26.44</v>
      </c>
      <c r="D14" s="7">
        <f t="shared" si="0"/>
        <v>8.0000000000001847E-2</v>
      </c>
      <c r="E14" s="7">
        <v>27.43</v>
      </c>
      <c r="F14" s="8">
        <f t="shared" si="1"/>
        <v>0.98999999999999844</v>
      </c>
      <c r="G14" s="8">
        <v>27.44</v>
      </c>
      <c r="H14" s="7">
        <f t="shared" si="2"/>
        <v>1.0000000000001563E-2</v>
      </c>
      <c r="I14" s="7">
        <v>26.57</v>
      </c>
      <c r="J14" s="8">
        <f t="shared" si="3"/>
        <v>-0.87000000000000099</v>
      </c>
      <c r="K14" s="8">
        <v>26.02</v>
      </c>
      <c r="L14" s="8">
        <f t="shared" si="4"/>
        <v>-0.55000000000000071</v>
      </c>
      <c r="M14" s="6">
        <v>27.37</v>
      </c>
      <c r="N14" s="6">
        <f t="shared" si="5"/>
        <v>1.0100000000000016</v>
      </c>
      <c r="O14" s="14">
        <v>27.09</v>
      </c>
      <c r="P14" s="6">
        <f t="shared" si="6"/>
        <v>-0.28000000000000114</v>
      </c>
      <c r="Q14" s="6">
        <v>29.53</v>
      </c>
      <c r="R14" s="6">
        <f t="shared" si="7"/>
        <v>2.4400000000000013</v>
      </c>
      <c r="S14" s="6">
        <v>31.51</v>
      </c>
      <c r="T14" s="6">
        <f t="shared" si="8"/>
        <v>1.9800000000000004</v>
      </c>
    </row>
    <row r="15" spans="1:20" x14ac:dyDescent="0.2">
      <c r="A15" s="6">
        <v>14</v>
      </c>
      <c r="B15" s="7">
        <v>24.77</v>
      </c>
      <c r="C15" s="8">
        <v>25</v>
      </c>
      <c r="D15" s="7">
        <f t="shared" si="0"/>
        <v>0.23000000000000043</v>
      </c>
      <c r="E15" s="7">
        <v>25.57</v>
      </c>
      <c r="F15" s="8">
        <f t="shared" si="1"/>
        <v>0.57000000000000028</v>
      </c>
      <c r="G15" s="8">
        <v>26.49</v>
      </c>
      <c r="H15" s="7">
        <f t="shared" si="2"/>
        <v>0.91999999999999815</v>
      </c>
      <c r="I15" s="7">
        <v>26.59</v>
      </c>
      <c r="J15" s="8">
        <f t="shared" si="3"/>
        <v>0.10000000000000142</v>
      </c>
      <c r="K15" s="8">
        <v>26.03</v>
      </c>
      <c r="L15" s="8">
        <f t="shared" si="4"/>
        <v>-0.55999999999999872</v>
      </c>
      <c r="M15" s="6">
        <v>25.82</v>
      </c>
      <c r="N15" s="6">
        <f t="shared" si="5"/>
        <v>1.0500000000000007</v>
      </c>
      <c r="O15" s="14">
        <v>27.29</v>
      </c>
      <c r="P15" s="6">
        <f t="shared" si="6"/>
        <v>1.4699999999999989</v>
      </c>
      <c r="Q15" s="6">
        <v>29.65</v>
      </c>
      <c r="R15" s="6">
        <f t="shared" si="7"/>
        <v>2.3599999999999994</v>
      </c>
      <c r="S15" s="6">
        <v>30.52</v>
      </c>
      <c r="T15" s="6">
        <f t="shared" si="8"/>
        <v>0.87000000000000099</v>
      </c>
    </row>
    <row r="16" spans="1:20" x14ac:dyDescent="0.2">
      <c r="A16" s="6">
        <v>15</v>
      </c>
      <c r="B16" s="7">
        <v>26.66</v>
      </c>
      <c r="C16" s="8">
        <v>26.21</v>
      </c>
      <c r="D16" s="7">
        <f t="shared" si="0"/>
        <v>-0.44999999999999929</v>
      </c>
      <c r="E16" s="7">
        <v>26.48</v>
      </c>
      <c r="F16" s="8">
        <f t="shared" si="1"/>
        <v>0.26999999999999957</v>
      </c>
      <c r="G16" s="8">
        <v>25.44</v>
      </c>
      <c r="H16" s="7">
        <f t="shared" si="2"/>
        <v>-1.0399999999999991</v>
      </c>
      <c r="I16" s="7">
        <v>25.88</v>
      </c>
      <c r="J16" s="8">
        <f t="shared" si="3"/>
        <v>0.43999999999999773</v>
      </c>
      <c r="K16" s="8">
        <v>25.83</v>
      </c>
      <c r="L16" s="8">
        <f t="shared" si="4"/>
        <v>-5.0000000000000711E-2</v>
      </c>
      <c r="M16" s="6">
        <v>27.32</v>
      </c>
      <c r="N16" s="6">
        <f t="shared" si="5"/>
        <v>0.66000000000000014</v>
      </c>
      <c r="O16" s="14">
        <v>28.03</v>
      </c>
      <c r="P16" s="6">
        <f t="shared" si="6"/>
        <v>0.71000000000000085</v>
      </c>
      <c r="Q16" s="6">
        <v>31.4</v>
      </c>
      <c r="R16" s="6">
        <f t="shared" si="7"/>
        <v>3.3699999999999974</v>
      </c>
      <c r="S16" s="6">
        <v>33.130000000000003</v>
      </c>
      <c r="T16" s="6">
        <f t="shared" si="8"/>
        <v>1.730000000000004</v>
      </c>
    </row>
    <row r="17" spans="1:20" x14ac:dyDescent="0.2">
      <c r="A17" s="6">
        <v>16</v>
      </c>
      <c r="B17" s="7">
        <v>29.03</v>
      </c>
      <c r="C17" s="8">
        <v>29.01</v>
      </c>
      <c r="D17" s="7">
        <f t="shared" si="0"/>
        <v>-1.9999999999999574E-2</v>
      </c>
      <c r="E17" s="7">
        <v>28.99</v>
      </c>
      <c r="F17" s="8">
        <f t="shared" si="1"/>
        <v>-2.0000000000003126E-2</v>
      </c>
      <c r="G17" s="8">
        <v>28.4</v>
      </c>
      <c r="H17" s="7">
        <f t="shared" si="2"/>
        <v>-0.58999999999999986</v>
      </c>
      <c r="I17" s="7">
        <v>28.51</v>
      </c>
      <c r="J17" s="8">
        <f t="shared" si="3"/>
        <v>0.11000000000000298</v>
      </c>
      <c r="K17" s="8">
        <v>28.62</v>
      </c>
      <c r="L17" s="8">
        <f t="shared" si="4"/>
        <v>0.10999999999999943</v>
      </c>
      <c r="M17" s="6">
        <v>30.27</v>
      </c>
      <c r="N17" s="6">
        <f t="shared" si="5"/>
        <v>1.2399999999999984</v>
      </c>
      <c r="O17" s="14">
        <v>31.13</v>
      </c>
      <c r="P17" s="6">
        <f t="shared" si="6"/>
        <v>0.85999999999999943</v>
      </c>
      <c r="Q17" s="6">
        <v>34.270000000000003</v>
      </c>
      <c r="R17" s="6">
        <f t="shared" si="7"/>
        <v>3.1400000000000041</v>
      </c>
      <c r="S17" s="6">
        <v>37.01</v>
      </c>
      <c r="T17" s="6">
        <f t="shared" si="8"/>
        <v>2.7399999999999949</v>
      </c>
    </row>
    <row r="18" spans="1:20" x14ac:dyDescent="0.2">
      <c r="A18" s="6">
        <v>17</v>
      </c>
      <c r="B18" s="7">
        <v>25.17</v>
      </c>
      <c r="C18" s="8">
        <v>25.16</v>
      </c>
      <c r="D18" s="7">
        <f t="shared" si="0"/>
        <v>-1.0000000000001563E-2</v>
      </c>
      <c r="E18" s="7">
        <v>25.02</v>
      </c>
      <c r="F18" s="8">
        <f t="shared" si="1"/>
        <v>-0.14000000000000057</v>
      </c>
      <c r="G18" s="8">
        <v>24.99</v>
      </c>
      <c r="H18" s="7">
        <f t="shared" si="2"/>
        <v>-3.0000000000001137E-2</v>
      </c>
      <c r="I18" s="7">
        <v>25.11</v>
      </c>
      <c r="J18" s="8">
        <f t="shared" si="3"/>
        <v>0.12000000000000099</v>
      </c>
      <c r="K18" s="8">
        <v>24.97</v>
      </c>
      <c r="L18" s="8">
        <f t="shared" si="4"/>
        <v>-0.14000000000000057</v>
      </c>
      <c r="M18" s="6">
        <v>25.03</v>
      </c>
      <c r="N18" s="6">
        <f t="shared" si="5"/>
        <v>-0.14000000000000057</v>
      </c>
      <c r="O18" s="14">
        <v>25.32</v>
      </c>
      <c r="P18" s="6">
        <f t="shared" si="6"/>
        <v>0.28999999999999915</v>
      </c>
      <c r="Q18" s="6">
        <v>26.13</v>
      </c>
      <c r="R18" s="6">
        <f t="shared" si="7"/>
        <v>0.80999999999999872</v>
      </c>
      <c r="S18" s="6">
        <v>26.52</v>
      </c>
      <c r="T18" s="6">
        <f t="shared" si="8"/>
        <v>0.39000000000000057</v>
      </c>
    </row>
    <row r="19" spans="1:20" x14ac:dyDescent="0.2">
      <c r="A19" s="6">
        <v>18</v>
      </c>
      <c r="B19" s="7">
        <v>26.57</v>
      </c>
      <c r="C19" s="8">
        <v>26.42</v>
      </c>
      <c r="D19" s="7">
        <f t="shared" si="0"/>
        <v>-0.14999999999999858</v>
      </c>
      <c r="E19" s="7">
        <v>27.36</v>
      </c>
      <c r="F19" s="8">
        <f t="shared" si="1"/>
        <v>0.93999999999999773</v>
      </c>
      <c r="G19" s="8">
        <v>26.78</v>
      </c>
      <c r="H19" s="7">
        <f t="shared" si="2"/>
        <v>-0.57999999999999829</v>
      </c>
      <c r="I19" s="7">
        <v>28.35</v>
      </c>
      <c r="J19" s="8">
        <f t="shared" si="3"/>
        <v>1.5700000000000003</v>
      </c>
      <c r="K19" s="8">
        <v>27.13</v>
      </c>
      <c r="L19" s="8">
        <f t="shared" si="4"/>
        <v>-1.2200000000000024</v>
      </c>
      <c r="M19" s="6">
        <v>29.46</v>
      </c>
      <c r="N19" s="6">
        <f t="shared" si="5"/>
        <v>2.8900000000000006</v>
      </c>
      <c r="O19" s="14">
        <v>30.25</v>
      </c>
      <c r="P19" s="6">
        <f t="shared" si="6"/>
        <v>0.78999999999999915</v>
      </c>
      <c r="Q19" s="6">
        <v>33.99</v>
      </c>
      <c r="R19" s="6">
        <f t="shared" si="7"/>
        <v>3.740000000000002</v>
      </c>
      <c r="S19" s="6">
        <v>37.29</v>
      </c>
      <c r="T19" s="6">
        <f t="shared" si="8"/>
        <v>3.2999999999999972</v>
      </c>
    </row>
    <row r="20" spans="1:20" x14ac:dyDescent="0.2">
      <c r="A20" s="6">
        <v>19</v>
      </c>
      <c r="B20" s="7">
        <v>27.75</v>
      </c>
      <c r="C20" s="8">
        <v>27</v>
      </c>
      <c r="D20" s="7">
        <f t="shared" si="0"/>
        <v>-0.75</v>
      </c>
      <c r="E20" s="7">
        <v>27.64</v>
      </c>
      <c r="F20" s="8">
        <f t="shared" si="1"/>
        <v>0.64000000000000057</v>
      </c>
      <c r="G20" s="8">
        <v>28.83</v>
      </c>
      <c r="H20" s="7">
        <f t="shared" si="2"/>
        <v>1.1899999999999977</v>
      </c>
      <c r="I20" s="7">
        <v>28.87</v>
      </c>
      <c r="J20" s="8">
        <f t="shared" si="3"/>
        <v>4.00000000000027E-2</v>
      </c>
      <c r="K20" s="8">
        <v>28</v>
      </c>
      <c r="L20" s="8">
        <f t="shared" si="4"/>
        <v>-0.87000000000000099</v>
      </c>
      <c r="M20" s="6">
        <v>29.75</v>
      </c>
      <c r="N20" s="6">
        <f t="shared" si="5"/>
        <v>2</v>
      </c>
      <c r="O20" s="14">
        <v>30.32</v>
      </c>
      <c r="P20" s="6">
        <f t="shared" si="6"/>
        <v>0.57000000000000028</v>
      </c>
      <c r="Q20" s="6">
        <v>33.86</v>
      </c>
      <c r="R20" s="6">
        <f t="shared" si="7"/>
        <v>3.5399999999999991</v>
      </c>
      <c r="S20" s="6">
        <v>36.31</v>
      </c>
      <c r="T20" s="6">
        <f t="shared" si="8"/>
        <v>2.4500000000000028</v>
      </c>
    </row>
    <row r="21" spans="1:20" x14ac:dyDescent="0.2">
      <c r="A21" s="6">
        <v>20</v>
      </c>
      <c r="B21" s="7">
        <v>26.02</v>
      </c>
      <c r="C21" s="8">
        <v>26.43</v>
      </c>
      <c r="D21" s="7">
        <f t="shared" si="0"/>
        <v>0.41000000000000014</v>
      </c>
      <c r="E21" s="7">
        <v>26.76</v>
      </c>
      <c r="F21" s="8">
        <f t="shared" si="1"/>
        <v>0.33000000000000185</v>
      </c>
      <c r="G21" s="8">
        <v>26.56</v>
      </c>
      <c r="H21" s="7">
        <f t="shared" si="2"/>
        <v>-0.20000000000000284</v>
      </c>
      <c r="I21" s="7">
        <v>26.77</v>
      </c>
      <c r="J21" s="8">
        <f t="shared" si="3"/>
        <v>0.21000000000000085</v>
      </c>
      <c r="K21" s="8">
        <v>26.41</v>
      </c>
      <c r="L21" s="8">
        <f t="shared" si="4"/>
        <v>-0.35999999999999943</v>
      </c>
      <c r="M21" s="6">
        <v>28.57</v>
      </c>
      <c r="N21" s="6">
        <f t="shared" si="5"/>
        <v>2.5500000000000007</v>
      </c>
      <c r="O21" s="14">
        <v>29.11</v>
      </c>
      <c r="P21" s="6">
        <f t="shared" si="6"/>
        <v>0.53999999999999915</v>
      </c>
      <c r="Q21" s="6">
        <v>32.03</v>
      </c>
      <c r="R21" s="6">
        <f t="shared" si="7"/>
        <v>2.9200000000000017</v>
      </c>
      <c r="S21" s="6">
        <v>34.479999999999997</v>
      </c>
      <c r="T21" s="6">
        <f t="shared" si="8"/>
        <v>2.4499999999999957</v>
      </c>
    </row>
    <row r="22" spans="1:20" x14ac:dyDescent="0.2">
      <c r="B22" s="6" t="s">
        <v>58</v>
      </c>
      <c r="L22" s="6"/>
      <c r="M22" s="6" t="s">
        <v>59</v>
      </c>
      <c r="N22" s="6" t="s">
        <v>60</v>
      </c>
    </row>
    <row r="23" spans="1:20" x14ac:dyDescent="0.2">
      <c r="D23" s="6" t="s">
        <v>61</v>
      </c>
      <c r="F23" s="6" t="s">
        <v>62</v>
      </c>
      <c r="H23" s="6" t="s">
        <v>63</v>
      </c>
      <c r="J23" s="6" t="s">
        <v>64</v>
      </c>
      <c r="L23" s="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9"/>
  <sheetViews>
    <sheetView workbookViewId="0">
      <selection activeCell="J2" sqref="J2:J22"/>
    </sheetView>
  </sheetViews>
  <sheetFormatPr defaultColWidth="12.5703125" defaultRowHeight="15.75" customHeight="1" x14ac:dyDescent="0.2"/>
  <cols>
    <col min="14" max="16384" width="12.5703125" style="22"/>
  </cols>
  <sheetData>
    <row r="1" spans="1:27" customFormat="1" x14ac:dyDescent="0.2">
      <c r="A1" s="1" t="s">
        <v>0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L1" s="2" t="s">
        <v>5</v>
      </c>
      <c r="M1" s="3" t="s">
        <v>9</v>
      </c>
      <c r="N1" s="15" t="s">
        <v>52</v>
      </c>
      <c r="O1" s="3" t="s">
        <v>11</v>
      </c>
      <c r="P1" s="3" t="s">
        <v>16</v>
      </c>
      <c r="Q1" s="15" t="s">
        <v>52</v>
      </c>
      <c r="R1" s="3" t="s">
        <v>75</v>
      </c>
      <c r="S1" s="2" t="s">
        <v>20</v>
      </c>
      <c r="T1" s="15" t="s">
        <v>52</v>
      </c>
      <c r="U1" s="2" t="s">
        <v>24</v>
      </c>
      <c r="V1" s="15" t="s">
        <v>52</v>
      </c>
      <c r="W1" s="2" t="s">
        <v>76</v>
      </c>
      <c r="X1" s="2" t="s">
        <v>28</v>
      </c>
      <c r="Y1" s="15" t="s">
        <v>52</v>
      </c>
      <c r="Z1" s="2" t="s">
        <v>77</v>
      </c>
      <c r="AA1" s="2"/>
    </row>
    <row r="2" spans="1:27" customFormat="1" x14ac:dyDescent="0.2">
      <c r="A2" s="6">
        <v>1</v>
      </c>
      <c r="B2" s="8">
        <v>-2.879999999999999</v>
      </c>
      <c r="C2" s="7">
        <v>-3.6799999999999926</v>
      </c>
      <c r="D2" s="8">
        <v>-3.2199999999999989</v>
      </c>
      <c r="E2" s="7">
        <v>-1.3000000000000114</v>
      </c>
      <c r="F2" s="8">
        <v>-4.2999999999999972</v>
      </c>
      <c r="G2" s="6">
        <f t="shared" ref="G2:G21" si="0">SUM(B2:F2)</f>
        <v>-15.379999999999999</v>
      </c>
      <c r="H2" s="6">
        <f t="shared" ref="H2:H21" si="1">G2/10</f>
        <v>-1.5379999999999998</v>
      </c>
      <c r="J2" s="6">
        <v>0.42999999999999261</v>
      </c>
      <c r="L2" s="7">
        <v>24.27</v>
      </c>
      <c r="M2" s="8">
        <v>21.39</v>
      </c>
      <c r="N2" s="16">
        <f t="shared" ref="N2:N21" si="2">L2-M2</f>
        <v>2.879999999999999</v>
      </c>
      <c r="O2" s="8">
        <v>80.3</v>
      </c>
      <c r="P2" s="8">
        <v>76.62</v>
      </c>
      <c r="Q2" s="16">
        <f t="shared" ref="Q2:Q21" si="3">O2-P2</f>
        <v>3.6799999999999926</v>
      </c>
      <c r="R2" s="8">
        <v>76.62</v>
      </c>
      <c r="S2" s="7">
        <v>73.400000000000006</v>
      </c>
      <c r="T2" s="16">
        <f t="shared" ref="T2:T21" si="4">R2-S2</f>
        <v>3.2199999999999989</v>
      </c>
      <c r="U2" s="7">
        <v>72.099999999999994</v>
      </c>
      <c r="V2" s="16">
        <f t="shared" ref="V2:V21" si="5">S2-U2</f>
        <v>1.3000000000000114</v>
      </c>
      <c r="W2" s="7">
        <v>81.489999999999995</v>
      </c>
      <c r="X2" s="7">
        <v>77.19</v>
      </c>
      <c r="Y2" s="16">
        <f t="shared" ref="Y2:Y21" si="6">W2-X2</f>
        <v>4.2999999999999972</v>
      </c>
      <c r="Z2" s="17">
        <f t="shared" ref="Z2:Z21" si="7">SUM(N2,Q2,T2,V2,Y2)/12</f>
        <v>1.2816666666666665</v>
      </c>
      <c r="AA2" s="7"/>
    </row>
    <row r="3" spans="1:27" customFormat="1" x14ac:dyDescent="0.2">
      <c r="A3" s="6">
        <v>2</v>
      </c>
      <c r="B3" s="8">
        <v>-1.9200000000000017</v>
      </c>
      <c r="C3" s="7">
        <v>-1.1299999999999955</v>
      </c>
      <c r="D3" s="8">
        <v>-3.6600000000000108</v>
      </c>
      <c r="E3" s="7">
        <v>-0.28999999999999204</v>
      </c>
      <c r="F3" s="8">
        <v>-3.0300000000000011</v>
      </c>
      <c r="G3" s="6">
        <f t="shared" si="0"/>
        <v>-10.030000000000001</v>
      </c>
      <c r="H3" s="6">
        <f t="shared" si="1"/>
        <v>-1.0030000000000001</v>
      </c>
      <c r="J3" s="6">
        <v>0.38000000000000966</v>
      </c>
      <c r="L3" s="7">
        <v>23.8</v>
      </c>
      <c r="M3" s="8">
        <v>21.88</v>
      </c>
      <c r="N3" s="16">
        <f t="shared" si="2"/>
        <v>1.9200000000000017</v>
      </c>
      <c r="O3" s="8">
        <v>93.78</v>
      </c>
      <c r="P3" s="8">
        <v>92.65</v>
      </c>
      <c r="Q3" s="16">
        <f t="shared" si="3"/>
        <v>1.1299999999999955</v>
      </c>
      <c r="R3" s="8">
        <v>89.68</v>
      </c>
      <c r="S3" s="7">
        <v>86.02</v>
      </c>
      <c r="T3" s="16">
        <f t="shared" si="4"/>
        <v>3.6600000000000108</v>
      </c>
      <c r="U3" s="7">
        <v>85.73</v>
      </c>
      <c r="V3" s="16">
        <f t="shared" si="5"/>
        <v>0.28999999999999204</v>
      </c>
      <c r="W3" s="7">
        <v>92.01</v>
      </c>
      <c r="X3" s="7">
        <v>88.98</v>
      </c>
      <c r="Y3" s="16">
        <f t="shared" si="6"/>
        <v>3.0300000000000011</v>
      </c>
      <c r="Z3" s="17">
        <f t="shared" si="7"/>
        <v>0.83583333333333343</v>
      </c>
      <c r="AA3" s="7"/>
    </row>
    <row r="4" spans="1:27" customFormat="1" x14ac:dyDescent="0.2">
      <c r="A4" s="6">
        <v>3</v>
      </c>
      <c r="B4" s="8">
        <v>-3.3200000000000003</v>
      </c>
      <c r="C4" s="7">
        <v>-1.8900000000000006</v>
      </c>
      <c r="D4" s="8">
        <v>-3.019999999999996</v>
      </c>
      <c r="E4" s="7">
        <v>-2.769999999999996</v>
      </c>
      <c r="F4" s="8">
        <v>-3.5799999999999983</v>
      </c>
      <c r="G4" s="6">
        <f t="shared" si="0"/>
        <v>-14.579999999999991</v>
      </c>
      <c r="H4" s="6">
        <f t="shared" si="1"/>
        <v>-1.4579999999999991</v>
      </c>
      <c r="J4" s="6">
        <v>0.14000000000000057</v>
      </c>
      <c r="L4" s="7">
        <v>22.68</v>
      </c>
      <c r="M4" s="8">
        <v>19.36</v>
      </c>
      <c r="N4" s="16">
        <f t="shared" si="2"/>
        <v>3.3200000000000003</v>
      </c>
      <c r="O4" s="8">
        <v>77.73</v>
      </c>
      <c r="P4" s="8">
        <v>75.84</v>
      </c>
      <c r="Q4" s="16">
        <f t="shared" si="3"/>
        <v>1.8900000000000006</v>
      </c>
      <c r="R4" s="8">
        <v>77.02</v>
      </c>
      <c r="S4" s="7">
        <v>74</v>
      </c>
      <c r="T4" s="16">
        <f t="shared" si="4"/>
        <v>3.019999999999996</v>
      </c>
      <c r="U4" s="7">
        <v>71.23</v>
      </c>
      <c r="V4" s="16">
        <f t="shared" si="5"/>
        <v>2.769999999999996</v>
      </c>
      <c r="W4" s="7">
        <v>80.61</v>
      </c>
      <c r="X4" s="7">
        <v>77.03</v>
      </c>
      <c r="Y4" s="16">
        <f t="shared" si="6"/>
        <v>3.5799999999999983</v>
      </c>
      <c r="Z4" s="17">
        <f t="shared" si="7"/>
        <v>1.2149999999999992</v>
      </c>
      <c r="AA4" s="7"/>
    </row>
    <row r="5" spans="1:27" customFormat="1" x14ac:dyDescent="0.2">
      <c r="A5" s="6">
        <v>4</v>
      </c>
      <c r="B5" s="8">
        <v>-1.3699999999999974</v>
      </c>
      <c r="C5" s="7">
        <v>-1.2000000000000028</v>
      </c>
      <c r="D5" s="8">
        <v>-3.039999999999992</v>
      </c>
      <c r="E5" s="7">
        <v>-2.4400000000000119</v>
      </c>
      <c r="F5" s="8">
        <v>-2.8100000000000023</v>
      </c>
      <c r="G5" s="6">
        <f t="shared" si="0"/>
        <v>-10.860000000000007</v>
      </c>
      <c r="H5" s="6">
        <f t="shared" si="1"/>
        <v>-1.0860000000000007</v>
      </c>
      <c r="J5" s="6">
        <v>0.35999999999999943</v>
      </c>
      <c r="L5" s="7">
        <v>21.58</v>
      </c>
      <c r="M5" s="8">
        <v>20.21</v>
      </c>
      <c r="N5" s="16">
        <f t="shared" si="2"/>
        <v>1.3699999999999974</v>
      </c>
      <c r="O5" s="8">
        <v>79.89</v>
      </c>
      <c r="P5" s="8">
        <v>78.69</v>
      </c>
      <c r="Q5" s="16">
        <f t="shared" si="3"/>
        <v>1.2000000000000028</v>
      </c>
      <c r="R5" s="8">
        <v>78.69</v>
      </c>
      <c r="S5" s="7">
        <v>75.650000000000006</v>
      </c>
      <c r="T5" s="16">
        <f t="shared" si="4"/>
        <v>3.039999999999992</v>
      </c>
      <c r="U5" s="7">
        <v>73.209999999999994</v>
      </c>
      <c r="V5" s="16">
        <f t="shared" si="5"/>
        <v>2.4400000000000119</v>
      </c>
      <c r="W5" s="7">
        <v>78.430000000000007</v>
      </c>
      <c r="X5" s="7">
        <v>75.62</v>
      </c>
      <c r="Y5" s="16">
        <f t="shared" si="6"/>
        <v>2.8100000000000023</v>
      </c>
      <c r="Z5" s="17">
        <f t="shared" si="7"/>
        <v>0.90500000000000058</v>
      </c>
      <c r="AA5" s="7"/>
    </row>
    <row r="6" spans="1:27" customFormat="1" x14ac:dyDescent="0.2">
      <c r="A6" s="6">
        <v>5</v>
      </c>
      <c r="B6" s="8">
        <v>-0.94999999999999929</v>
      </c>
      <c r="C6" s="7">
        <v>-1.1400000000000006</v>
      </c>
      <c r="D6" s="8">
        <v>-3.0300000000000011</v>
      </c>
      <c r="E6" s="7">
        <v>-0.87000000000000455</v>
      </c>
      <c r="F6" s="8">
        <v>-0.74000000000000909</v>
      </c>
      <c r="G6" s="6">
        <f t="shared" si="0"/>
        <v>-6.7300000000000146</v>
      </c>
      <c r="H6" s="6">
        <f t="shared" si="1"/>
        <v>-0.67300000000000149</v>
      </c>
      <c r="J6" s="6">
        <v>0.14000000000000057</v>
      </c>
      <c r="L6" s="7">
        <v>20.77</v>
      </c>
      <c r="M6" s="8">
        <v>19.82</v>
      </c>
      <c r="N6" s="16">
        <f t="shared" si="2"/>
        <v>0.94999999999999929</v>
      </c>
      <c r="O6" s="8">
        <v>91.84</v>
      </c>
      <c r="P6" s="8">
        <v>90.7</v>
      </c>
      <c r="Q6" s="16">
        <f t="shared" si="3"/>
        <v>1.1400000000000006</v>
      </c>
      <c r="R6" s="8">
        <v>90.7</v>
      </c>
      <c r="S6" s="7">
        <v>87.67</v>
      </c>
      <c r="T6" s="16">
        <f t="shared" si="4"/>
        <v>3.0300000000000011</v>
      </c>
      <c r="U6" s="7">
        <v>86.8</v>
      </c>
      <c r="V6" s="16">
        <f t="shared" si="5"/>
        <v>0.87000000000000455</v>
      </c>
      <c r="W6" s="7">
        <v>92.73</v>
      </c>
      <c r="X6" s="7">
        <v>91.99</v>
      </c>
      <c r="Y6" s="16">
        <f t="shared" si="6"/>
        <v>0.74000000000000909</v>
      </c>
      <c r="Z6" s="17">
        <f t="shared" si="7"/>
        <v>0.56083333333333452</v>
      </c>
      <c r="AA6" s="7"/>
    </row>
    <row r="7" spans="1:27" customFormat="1" x14ac:dyDescent="0.2">
      <c r="A7" s="6">
        <v>6</v>
      </c>
      <c r="B7" s="8">
        <v>-0.91000000000000014</v>
      </c>
      <c r="C7" s="7">
        <v>-2.5799999999999983</v>
      </c>
      <c r="D7" s="8">
        <v>-6.9400000000000119</v>
      </c>
      <c r="E7" s="7">
        <v>-2.25</v>
      </c>
      <c r="F7" s="8">
        <v>-4.4200000000000017</v>
      </c>
      <c r="G7" s="6">
        <f t="shared" si="0"/>
        <v>-17.100000000000012</v>
      </c>
      <c r="H7" s="6">
        <f t="shared" si="1"/>
        <v>-1.7100000000000013</v>
      </c>
      <c r="J7" s="6">
        <v>0.28000000000000114</v>
      </c>
      <c r="L7" s="7">
        <v>20.260000000000002</v>
      </c>
      <c r="M7" s="8">
        <v>19.350000000000001</v>
      </c>
      <c r="N7" s="16">
        <f t="shared" si="2"/>
        <v>0.91000000000000014</v>
      </c>
      <c r="O7" s="8">
        <v>78.61</v>
      </c>
      <c r="P7" s="8">
        <v>76.03</v>
      </c>
      <c r="Q7" s="16">
        <f t="shared" si="3"/>
        <v>2.5799999999999983</v>
      </c>
      <c r="R7" s="8">
        <v>80.290000000000006</v>
      </c>
      <c r="S7" s="7">
        <v>73.349999999999994</v>
      </c>
      <c r="T7" s="16">
        <f t="shared" si="4"/>
        <v>6.9400000000000119</v>
      </c>
      <c r="U7" s="7">
        <v>71.099999999999994</v>
      </c>
      <c r="V7" s="16">
        <f t="shared" si="5"/>
        <v>2.25</v>
      </c>
      <c r="W7" s="7">
        <v>80.540000000000006</v>
      </c>
      <c r="X7" s="7">
        <v>76.12</v>
      </c>
      <c r="Y7" s="16">
        <f t="shared" si="6"/>
        <v>4.4200000000000017</v>
      </c>
      <c r="Z7" s="17">
        <f t="shared" si="7"/>
        <v>1.4250000000000009</v>
      </c>
      <c r="AA7" s="7"/>
    </row>
    <row r="8" spans="1:27" customFormat="1" x14ac:dyDescent="0.2">
      <c r="A8" s="6">
        <v>7</v>
      </c>
      <c r="B8" s="8">
        <v>-0.82999999999999829</v>
      </c>
      <c r="C8" s="7">
        <v>-1.3900000000000006</v>
      </c>
      <c r="D8" s="8">
        <v>-2.6800000000000068</v>
      </c>
      <c r="E8" s="7">
        <v>-1.5499999999999972</v>
      </c>
      <c r="F8" s="8">
        <v>-1.6899999999999977</v>
      </c>
      <c r="G8" s="6">
        <f t="shared" si="0"/>
        <v>-8.14</v>
      </c>
      <c r="H8" s="6">
        <f t="shared" si="1"/>
        <v>-0.81400000000000006</v>
      </c>
      <c r="J8" s="6">
        <v>0.44000000000001194</v>
      </c>
      <c r="L8" s="7">
        <v>21.99</v>
      </c>
      <c r="M8" s="8">
        <v>21.16</v>
      </c>
      <c r="N8" s="16">
        <f t="shared" si="2"/>
        <v>0.82999999999999829</v>
      </c>
      <c r="O8" s="8">
        <v>76.64</v>
      </c>
      <c r="P8" s="8">
        <v>75.25</v>
      </c>
      <c r="Q8" s="16">
        <f t="shared" si="3"/>
        <v>1.3900000000000006</v>
      </c>
      <c r="R8" s="8">
        <v>75.25</v>
      </c>
      <c r="S8" s="7">
        <v>72.569999999999993</v>
      </c>
      <c r="T8" s="16">
        <f t="shared" si="4"/>
        <v>2.6800000000000068</v>
      </c>
      <c r="U8" s="7">
        <v>71.02</v>
      </c>
      <c r="V8" s="16">
        <f t="shared" si="5"/>
        <v>1.5499999999999972</v>
      </c>
      <c r="W8" s="7">
        <v>75.03</v>
      </c>
      <c r="X8" s="7">
        <v>73.34</v>
      </c>
      <c r="Y8" s="16">
        <f t="shared" si="6"/>
        <v>1.6899999999999977</v>
      </c>
      <c r="Z8" s="17">
        <f t="shared" si="7"/>
        <v>0.67833333333333334</v>
      </c>
      <c r="AA8" s="7"/>
    </row>
    <row r="9" spans="1:27" customFormat="1" x14ac:dyDescent="0.2">
      <c r="A9" s="6">
        <v>8</v>
      </c>
      <c r="B9" s="8">
        <v>-3.4899999999999984</v>
      </c>
      <c r="C9" s="7">
        <v>-3.519999999999996</v>
      </c>
      <c r="D9" s="8">
        <v>-4.2600000000000051</v>
      </c>
      <c r="E9" s="7">
        <v>-2.75</v>
      </c>
      <c r="F9" s="8">
        <v>-2.7999999999999972</v>
      </c>
      <c r="G9" s="6">
        <f t="shared" si="0"/>
        <v>-16.819999999999997</v>
      </c>
      <c r="H9" s="6">
        <f t="shared" si="1"/>
        <v>-1.6819999999999997</v>
      </c>
      <c r="J9" s="6">
        <v>0.31000000000000227</v>
      </c>
      <c r="L9" s="7">
        <v>21.86</v>
      </c>
      <c r="M9" s="8">
        <v>18.37</v>
      </c>
      <c r="N9" s="16">
        <f t="shared" si="2"/>
        <v>3.4899999999999984</v>
      </c>
      <c r="O9" s="8">
        <v>77.489999999999995</v>
      </c>
      <c r="P9" s="8">
        <v>73.97</v>
      </c>
      <c r="Q9" s="16">
        <f t="shared" si="3"/>
        <v>3.519999999999996</v>
      </c>
      <c r="R9" s="8">
        <v>81.680000000000007</v>
      </c>
      <c r="S9" s="7">
        <v>77.42</v>
      </c>
      <c r="T9" s="16">
        <f t="shared" si="4"/>
        <v>4.2600000000000051</v>
      </c>
      <c r="U9" s="7">
        <v>74.67</v>
      </c>
      <c r="V9" s="16">
        <f t="shared" si="5"/>
        <v>2.75</v>
      </c>
      <c r="W9" s="7">
        <v>79.78</v>
      </c>
      <c r="X9" s="7">
        <v>76.98</v>
      </c>
      <c r="Y9" s="16">
        <f t="shared" si="6"/>
        <v>2.7999999999999972</v>
      </c>
      <c r="Z9" s="17">
        <f t="shared" si="7"/>
        <v>1.4016666666666664</v>
      </c>
      <c r="AA9" s="7"/>
    </row>
    <row r="10" spans="1:27" customFormat="1" x14ac:dyDescent="0.2">
      <c r="A10" s="6">
        <v>9</v>
      </c>
      <c r="B10" s="8">
        <v>-1.3000000000000007</v>
      </c>
      <c r="C10" s="7">
        <v>-2.2600000000000051</v>
      </c>
      <c r="D10" s="8">
        <v>-5.5999999999999943</v>
      </c>
      <c r="E10" s="7">
        <v>-4.3600000000000065</v>
      </c>
      <c r="F10" s="8">
        <v>-6.8199999999999932</v>
      </c>
      <c r="G10" s="6">
        <f t="shared" si="0"/>
        <v>-20.34</v>
      </c>
      <c r="H10" s="6">
        <f t="shared" si="1"/>
        <v>-2.0339999999999998</v>
      </c>
      <c r="J10" s="6">
        <v>0.14999999999999147</v>
      </c>
      <c r="L10" s="7">
        <v>19.600000000000001</v>
      </c>
      <c r="M10" s="8">
        <v>18.3</v>
      </c>
      <c r="N10" s="16">
        <f t="shared" si="2"/>
        <v>1.3000000000000007</v>
      </c>
      <c r="O10" s="8">
        <v>72.48</v>
      </c>
      <c r="P10" s="8">
        <v>70.22</v>
      </c>
      <c r="Q10" s="16">
        <f t="shared" si="3"/>
        <v>2.2600000000000051</v>
      </c>
      <c r="R10" s="8">
        <v>70.22</v>
      </c>
      <c r="S10" s="7">
        <v>64.62</v>
      </c>
      <c r="T10" s="16">
        <f t="shared" si="4"/>
        <v>5.5999999999999943</v>
      </c>
      <c r="U10" s="7">
        <v>60.26</v>
      </c>
      <c r="V10" s="16">
        <f t="shared" si="5"/>
        <v>4.3600000000000065</v>
      </c>
      <c r="W10" s="7">
        <v>76.819999999999993</v>
      </c>
      <c r="X10" s="7">
        <v>70</v>
      </c>
      <c r="Y10" s="16">
        <f t="shared" si="6"/>
        <v>6.8199999999999932</v>
      </c>
      <c r="Z10" s="17">
        <f t="shared" si="7"/>
        <v>1.6950000000000001</v>
      </c>
      <c r="AA10" s="7"/>
    </row>
    <row r="11" spans="1:27" customFormat="1" x14ac:dyDescent="0.2">
      <c r="A11" s="6">
        <v>10</v>
      </c>
      <c r="B11" s="8">
        <v>-1.3399999999999999</v>
      </c>
      <c r="C11" s="7">
        <v>-1.4099999999999966</v>
      </c>
      <c r="D11" s="8">
        <v>-2.9699999999999989</v>
      </c>
      <c r="E11" s="7">
        <v>-2.0700000000000074</v>
      </c>
      <c r="F11" s="8">
        <v>-3.0799999999999983</v>
      </c>
      <c r="G11" s="6">
        <f t="shared" si="0"/>
        <v>-10.870000000000001</v>
      </c>
      <c r="H11" s="6">
        <f t="shared" si="1"/>
        <v>-1.0870000000000002</v>
      </c>
      <c r="J11" s="6">
        <v>0.12999999999999545</v>
      </c>
      <c r="L11" s="7">
        <v>19.309999999999999</v>
      </c>
      <c r="M11" s="8">
        <v>17.97</v>
      </c>
      <c r="N11" s="16">
        <f t="shared" si="2"/>
        <v>1.3399999999999999</v>
      </c>
      <c r="O11" s="8">
        <v>77.42</v>
      </c>
      <c r="P11" s="8">
        <v>76.010000000000005</v>
      </c>
      <c r="Q11" s="16">
        <f t="shared" si="3"/>
        <v>1.4099999999999966</v>
      </c>
      <c r="R11" s="8">
        <v>80.510000000000005</v>
      </c>
      <c r="S11" s="7">
        <v>77.540000000000006</v>
      </c>
      <c r="T11" s="16">
        <f t="shared" si="4"/>
        <v>2.9699999999999989</v>
      </c>
      <c r="U11" s="7">
        <v>75.47</v>
      </c>
      <c r="V11" s="16">
        <f t="shared" si="5"/>
        <v>2.0700000000000074</v>
      </c>
      <c r="W11" s="7">
        <v>80.48</v>
      </c>
      <c r="X11" s="7">
        <v>77.400000000000006</v>
      </c>
      <c r="Y11" s="16">
        <f t="shared" si="6"/>
        <v>3.0799999999999983</v>
      </c>
      <c r="Z11" s="17">
        <f t="shared" si="7"/>
        <v>0.90583333333333338</v>
      </c>
      <c r="AA11" s="7"/>
    </row>
    <row r="12" spans="1:27" customFormat="1" x14ac:dyDescent="0.2">
      <c r="A12" s="6">
        <v>11</v>
      </c>
      <c r="B12" s="8">
        <v>-0.94999999999999929</v>
      </c>
      <c r="C12" s="7">
        <v>-3.25</v>
      </c>
      <c r="D12" s="8">
        <v>-1.8499999999999943</v>
      </c>
      <c r="E12" s="7">
        <v>-3.78</v>
      </c>
      <c r="F12" s="8">
        <v>-2.0300000000000011</v>
      </c>
      <c r="G12" s="6">
        <f t="shared" si="0"/>
        <v>-11.859999999999994</v>
      </c>
      <c r="H12" s="6">
        <f t="shared" si="1"/>
        <v>-1.1859999999999995</v>
      </c>
      <c r="J12" s="6">
        <v>0.9100000000000108</v>
      </c>
      <c r="L12" s="7">
        <v>19.97</v>
      </c>
      <c r="M12" s="8">
        <v>19.02</v>
      </c>
      <c r="N12" s="16">
        <f t="shared" si="2"/>
        <v>0.94999999999999929</v>
      </c>
      <c r="O12" s="8">
        <v>78.02</v>
      </c>
      <c r="P12" s="8">
        <v>74.77</v>
      </c>
      <c r="Q12" s="16">
        <f t="shared" si="3"/>
        <v>3.25</v>
      </c>
      <c r="R12" s="8">
        <v>78.989999999999995</v>
      </c>
      <c r="S12" s="7">
        <v>77.14</v>
      </c>
      <c r="T12" s="16">
        <f t="shared" si="4"/>
        <v>1.8499999999999943</v>
      </c>
      <c r="U12" s="7">
        <v>73.42</v>
      </c>
      <c r="V12" s="16">
        <f t="shared" si="5"/>
        <v>3.7199999999999989</v>
      </c>
      <c r="W12" s="7">
        <v>78.02</v>
      </c>
      <c r="X12" s="7">
        <v>75.989999999999995</v>
      </c>
      <c r="Y12" s="16">
        <f t="shared" si="6"/>
        <v>2.0300000000000011</v>
      </c>
      <c r="Z12" s="17">
        <f t="shared" si="7"/>
        <v>0.98333333333333284</v>
      </c>
      <c r="AA12" s="7"/>
    </row>
    <row r="13" spans="1:27" customFormat="1" x14ac:dyDescent="0.2">
      <c r="A13" s="6">
        <v>12</v>
      </c>
      <c r="B13" s="8">
        <v>-1.129999999999999</v>
      </c>
      <c r="C13" s="7">
        <v>-2.75</v>
      </c>
      <c r="D13" s="8">
        <v>-6.0099999999999909</v>
      </c>
      <c r="E13" s="7">
        <v>0.75999999999999091</v>
      </c>
      <c r="F13" s="8">
        <v>-3.4199999999999875</v>
      </c>
      <c r="G13" s="6">
        <f t="shared" si="0"/>
        <v>-12.549999999999986</v>
      </c>
      <c r="H13" s="6">
        <f t="shared" si="1"/>
        <v>-1.2549999999999986</v>
      </c>
      <c r="J13" s="6">
        <v>0.22999999999998977</v>
      </c>
      <c r="L13" s="7">
        <v>18.75</v>
      </c>
      <c r="M13" s="8">
        <v>17.62</v>
      </c>
      <c r="N13" s="16">
        <f t="shared" si="2"/>
        <v>1.129999999999999</v>
      </c>
      <c r="O13" s="8">
        <v>72.319999999999993</v>
      </c>
      <c r="P13" s="8">
        <v>69.569999999999993</v>
      </c>
      <c r="Q13" s="16">
        <f t="shared" si="3"/>
        <v>2.75</v>
      </c>
      <c r="R13" s="8">
        <v>78.02</v>
      </c>
      <c r="S13" s="7">
        <v>72.010000000000005</v>
      </c>
      <c r="T13" s="16">
        <f t="shared" si="4"/>
        <v>6.0099999999999909</v>
      </c>
      <c r="U13" s="7">
        <v>71.97</v>
      </c>
      <c r="V13" s="16">
        <f t="shared" si="5"/>
        <v>4.0000000000006253E-2</v>
      </c>
      <c r="W13" s="7">
        <v>73.709999999999994</v>
      </c>
      <c r="X13" s="7">
        <v>70.290000000000006</v>
      </c>
      <c r="Y13" s="16">
        <f t="shared" si="6"/>
        <v>3.4199999999999875</v>
      </c>
      <c r="Z13" s="17">
        <f t="shared" si="7"/>
        <v>1.1124999999999987</v>
      </c>
      <c r="AA13" s="7"/>
    </row>
    <row r="14" spans="1:27" customFormat="1" x14ac:dyDescent="0.2">
      <c r="A14" s="6">
        <v>13</v>
      </c>
      <c r="B14" s="8">
        <v>-3.5600000000000005</v>
      </c>
      <c r="C14" s="7">
        <v>-1.6899999999999977</v>
      </c>
      <c r="D14" s="8">
        <v>-1.4700000000000131</v>
      </c>
      <c r="E14" s="7">
        <v>-1.9499999999999886</v>
      </c>
      <c r="F14" s="8">
        <v>-3.1899999999999977</v>
      </c>
      <c r="G14" s="6">
        <f t="shared" si="0"/>
        <v>-11.859999999999998</v>
      </c>
      <c r="H14" s="6">
        <f t="shared" si="1"/>
        <v>-1.1859999999999997</v>
      </c>
      <c r="J14" s="6">
        <v>0.62999999999999545</v>
      </c>
      <c r="L14" s="7">
        <v>18.53</v>
      </c>
      <c r="M14" s="8">
        <v>14.97</v>
      </c>
      <c r="N14" s="16">
        <f t="shared" si="2"/>
        <v>3.5600000000000005</v>
      </c>
      <c r="O14" s="8">
        <v>74.239999999999995</v>
      </c>
      <c r="P14" s="8">
        <v>72.55</v>
      </c>
      <c r="Q14" s="16">
        <f t="shared" si="3"/>
        <v>1.6899999999999977</v>
      </c>
      <c r="R14" s="8">
        <v>76.290000000000006</v>
      </c>
      <c r="S14" s="7">
        <v>74.819999999999993</v>
      </c>
      <c r="T14" s="16">
        <f t="shared" si="4"/>
        <v>1.4700000000000131</v>
      </c>
      <c r="U14" s="7">
        <v>72.87</v>
      </c>
      <c r="V14" s="16">
        <f t="shared" si="5"/>
        <v>1.9499999999999886</v>
      </c>
      <c r="W14" s="7">
        <v>78.58</v>
      </c>
      <c r="X14" s="7">
        <v>75.39</v>
      </c>
      <c r="Y14" s="16">
        <f t="shared" si="6"/>
        <v>3.1899999999999977</v>
      </c>
      <c r="Z14" s="17">
        <f t="shared" si="7"/>
        <v>0.98833333333333317</v>
      </c>
      <c r="AA14" s="7"/>
    </row>
    <row r="15" spans="1:27" customFormat="1" x14ac:dyDescent="0.2">
      <c r="A15" s="6">
        <v>14</v>
      </c>
      <c r="B15" s="8">
        <v>-1.9800000000000004</v>
      </c>
      <c r="C15" s="7">
        <v>-1.1799999999999926</v>
      </c>
      <c r="D15" s="8">
        <v>-4.0200000000000102</v>
      </c>
      <c r="E15" s="7">
        <v>-2.0300000000000011</v>
      </c>
      <c r="F15" s="8">
        <v>-2.6299999999999955</v>
      </c>
      <c r="G15" s="6">
        <f t="shared" si="0"/>
        <v>-11.84</v>
      </c>
      <c r="H15" s="6">
        <f t="shared" si="1"/>
        <v>-1.1839999999999999</v>
      </c>
      <c r="J15" s="6">
        <v>0.56999999999999318</v>
      </c>
      <c r="L15" s="7">
        <v>18.16</v>
      </c>
      <c r="M15" s="8">
        <v>16.18</v>
      </c>
      <c r="N15" s="16">
        <f t="shared" si="2"/>
        <v>1.9800000000000004</v>
      </c>
      <c r="O15" s="8">
        <v>74.97</v>
      </c>
      <c r="P15" s="8">
        <v>73.790000000000006</v>
      </c>
      <c r="Q15" s="16">
        <f t="shared" si="3"/>
        <v>1.1799999999999926</v>
      </c>
      <c r="R15" s="8">
        <v>81.180000000000007</v>
      </c>
      <c r="S15" s="7">
        <v>77.16</v>
      </c>
      <c r="T15" s="16">
        <f t="shared" si="4"/>
        <v>4.0200000000000102</v>
      </c>
      <c r="U15" s="7">
        <v>75.13</v>
      </c>
      <c r="V15" s="16">
        <f t="shared" si="5"/>
        <v>2.0300000000000011</v>
      </c>
      <c r="W15" s="7">
        <v>77.56</v>
      </c>
      <c r="X15" s="7">
        <v>74.930000000000007</v>
      </c>
      <c r="Y15" s="16">
        <f t="shared" si="6"/>
        <v>2.6299999999999955</v>
      </c>
      <c r="Z15" s="17">
        <f t="shared" si="7"/>
        <v>0.98666666666666669</v>
      </c>
      <c r="AA15" s="7"/>
    </row>
    <row r="16" spans="1:27" customFormat="1" x14ac:dyDescent="0.2">
      <c r="A16" s="6">
        <v>15</v>
      </c>
      <c r="B16" s="8">
        <v>-2.3699999999999974</v>
      </c>
      <c r="C16" s="7">
        <v>-2.8900000000000006</v>
      </c>
      <c r="D16" s="8">
        <v>-2.210000000000008</v>
      </c>
      <c r="E16" s="7">
        <v>-2.019999999999996</v>
      </c>
      <c r="F16" s="8">
        <v>-4.8199999999999932</v>
      </c>
      <c r="G16" s="6">
        <f t="shared" si="0"/>
        <v>-14.309999999999995</v>
      </c>
      <c r="H16" s="6">
        <f t="shared" si="1"/>
        <v>-1.4309999999999996</v>
      </c>
      <c r="J16" s="6">
        <v>0.48999999999999488</v>
      </c>
      <c r="L16" s="7">
        <v>19.989999999999998</v>
      </c>
      <c r="M16" s="8">
        <v>17.62</v>
      </c>
      <c r="N16" s="16">
        <f t="shared" si="2"/>
        <v>2.3699999999999974</v>
      </c>
      <c r="O16" s="8">
        <v>77.680000000000007</v>
      </c>
      <c r="P16" s="8">
        <v>74.790000000000006</v>
      </c>
      <c r="Q16" s="16">
        <f t="shared" si="3"/>
        <v>2.8900000000000006</v>
      </c>
      <c r="R16" s="8">
        <v>77.87</v>
      </c>
      <c r="S16" s="7">
        <v>75.66</v>
      </c>
      <c r="T16" s="16">
        <f t="shared" si="4"/>
        <v>2.210000000000008</v>
      </c>
      <c r="U16" s="7">
        <v>73.64</v>
      </c>
      <c r="V16" s="16">
        <f t="shared" si="5"/>
        <v>2.019999999999996</v>
      </c>
      <c r="W16" s="7">
        <v>80.989999999999995</v>
      </c>
      <c r="X16" s="7">
        <v>76.17</v>
      </c>
      <c r="Y16" s="16">
        <f t="shared" si="6"/>
        <v>4.8199999999999932</v>
      </c>
      <c r="Z16" s="17">
        <f t="shared" si="7"/>
        <v>1.1924999999999997</v>
      </c>
      <c r="AA16" s="7"/>
    </row>
    <row r="17" spans="1:27" customFormat="1" x14ac:dyDescent="0.2">
      <c r="A17" s="6">
        <v>16</v>
      </c>
      <c r="B17" s="8">
        <v>-0.5400000000000027</v>
      </c>
      <c r="C17" s="7">
        <v>-1.3199999999999932</v>
      </c>
      <c r="D17" s="8">
        <v>-3.4699999999999989</v>
      </c>
      <c r="E17" s="7">
        <v>-1.4200000000000017</v>
      </c>
      <c r="F17" s="8">
        <v>-4.6899999999999977</v>
      </c>
      <c r="G17" s="6">
        <f t="shared" si="0"/>
        <v>-11.439999999999994</v>
      </c>
      <c r="H17" s="6">
        <f t="shared" si="1"/>
        <v>-1.1439999999999995</v>
      </c>
      <c r="J17" s="6">
        <v>0.67000000000000171</v>
      </c>
      <c r="L17" s="7">
        <v>18.850000000000001</v>
      </c>
      <c r="M17" s="8">
        <v>18.309999999999999</v>
      </c>
      <c r="N17" s="16">
        <f t="shared" si="2"/>
        <v>0.5400000000000027</v>
      </c>
      <c r="O17" s="8">
        <v>73.77</v>
      </c>
      <c r="P17" s="8">
        <v>72.45</v>
      </c>
      <c r="Q17" s="16">
        <f t="shared" si="3"/>
        <v>1.3199999999999932</v>
      </c>
      <c r="R17" s="8">
        <v>80.31</v>
      </c>
      <c r="S17" s="7">
        <v>76.84</v>
      </c>
      <c r="T17" s="16">
        <f t="shared" si="4"/>
        <v>3.4699999999999989</v>
      </c>
      <c r="U17" s="7">
        <v>75.42</v>
      </c>
      <c r="V17" s="16">
        <f t="shared" si="5"/>
        <v>1.4200000000000017</v>
      </c>
      <c r="W17" s="7">
        <v>78.27</v>
      </c>
      <c r="X17" s="7">
        <v>73.58</v>
      </c>
      <c r="Y17" s="16">
        <f t="shared" si="6"/>
        <v>4.6899999999999977</v>
      </c>
      <c r="Z17" s="17">
        <f t="shared" si="7"/>
        <v>0.95333333333333281</v>
      </c>
      <c r="AA17" s="7"/>
    </row>
    <row r="18" spans="1:27" customFormat="1" x14ac:dyDescent="0.2">
      <c r="A18" s="6">
        <v>17</v>
      </c>
      <c r="B18" s="8">
        <v>-0.86999999999999744</v>
      </c>
      <c r="C18" s="7">
        <v>-2.9899999999999949</v>
      </c>
      <c r="D18" s="8">
        <v>-1.289999999999992</v>
      </c>
      <c r="E18" s="7">
        <v>-0.15000000000000568</v>
      </c>
      <c r="F18" s="8">
        <v>-2.1700000000000017</v>
      </c>
      <c r="G18" s="6">
        <f t="shared" si="0"/>
        <v>-7.4699999999999918</v>
      </c>
      <c r="H18" s="6">
        <f t="shared" si="1"/>
        <v>-0.74699999999999922</v>
      </c>
      <c r="J18" s="6">
        <v>0.63000000000000966</v>
      </c>
      <c r="L18" s="7">
        <v>21.13</v>
      </c>
      <c r="M18" s="8">
        <v>20.260000000000002</v>
      </c>
      <c r="N18" s="16">
        <f t="shared" si="2"/>
        <v>0.86999999999999744</v>
      </c>
      <c r="O18" s="8">
        <v>75.459999999999994</v>
      </c>
      <c r="P18" s="8">
        <v>72.47</v>
      </c>
      <c r="Q18" s="16">
        <f t="shared" si="3"/>
        <v>2.9899999999999949</v>
      </c>
      <c r="R18" s="8">
        <v>72.47</v>
      </c>
      <c r="S18" s="7">
        <v>71.180000000000007</v>
      </c>
      <c r="T18" s="16">
        <f t="shared" si="4"/>
        <v>1.289999999999992</v>
      </c>
      <c r="U18" s="7">
        <v>71.03</v>
      </c>
      <c r="V18" s="16">
        <f t="shared" si="5"/>
        <v>0.15000000000000568</v>
      </c>
      <c r="W18" s="7">
        <v>76.27</v>
      </c>
      <c r="X18" s="7">
        <v>74.099999999999994</v>
      </c>
      <c r="Y18" s="16">
        <f t="shared" si="6"/>
        <v>2.1700000000000017</v>
      </c>
      <c r="Z18" s="17">
        <f t="shared" si="7"/>
        <v>0.62249999999999928</v>
      </c>
      <c r="AA18" s="7"/>
    </row>
    <row r="19" spans="1:27" customFormat="1" x14ac:dyDescent="0.2">
      <c r="A19" s="6">
        <v>18</v>
      </c>
      <c r="B19" s="8">
        <v>-1.3099999999999987</v>
      </c>
      <c r="C19" s="7">
        <v>-0.64999999999999147</v>
      </c>
      <c r="D19" s="8">
        <v>-5.7999999999999972</v>
      </c>
      <c r="E19" s="7">
        <v>-4.8500000000000085</v>
      </c>
      <c r="F19" s="8">
        <v>-2.8800000000000097</v>
      </c>
      <c r="G19" s="6">
        <f t="shared" si="0"/>
        <v>-15.490000000000006</v>
      </c>
      <c r="H19" s="6">
        <f t="shared" si="1"/>
        <v>-1.5490000000000006</v>
      </c>
      <c r="J19" s="6">
        <v>0.35999999999999943</v>
      </c>
      <c r="L19" s="7">
        <v>20.32</v>
      </c>
      <c r="M19" s="8">
        <v>19.010000000000002</v>
      </c>
      <c r="N19" s="16">
        <f t="shared" si="2"/>
        <v>1.3099999999999987</v>
      </c>
      <c r="O19" s="8">
        <v>73.16</v>
      </c>
      <c r="P19" s="8">
        <v>72.510000000000005</v>
      </c>
      <c r="Q19" s="16">
        <f t="shared" si="3"/>
        <v>0.64999999999999147</v>
      </c>
      <c r="R19" s="8">
        <v>75.81</v>
      </c>
      <c r="S19" s="7">
        <v>70.010000000000005</v>
      </c>
      <c r="T19" s="16">
        <f t="shared" si="4"/>
        <v>5.7999999999999972</v>
      </c>
      <c r="U19" s="7">
        <v>65.16</v>
      </c>
      <c r="V19" s="16">
        <f t="shared" si="5"/>
        <v>4.8500000000000085</v>
      </c>
      <c r="W19" s="7">
        <v>73.540000000000006</v>
      </c>
      <c r="X19" s="7">
        <v>70.66</v>
      </c>
      <c r="Y19" s="16">
        <f t="shared" si="6"/>
        <v>2.8800000000000097</v>
      </c>
      <c r="Z19" s="17">
        <f t="shared" si="7"/>
        <v>1.2908333333333337</v>
      </c>
      <c r="AA19" s="7"/>
    </row>
    <row r="20" spans="1:27" customFormat="1" x14ac:dyDescent="0.2">
      <c r="A20" s="6">
        <v>19</v>
      </c>
      <c r="B20" s="8">
        <v>-1.0600000000000023</v>
      </c>
      <c r="C20" s="7">
        <v>-1.9799999999999898</v>
      </c>
      <c r="D20" s="8">
        <v>-3.4099999999999966</v>
      </c>
      <c r="E20" s="7">
        <v>-3.1800000000000068</v>
      </c>
      <c r="F20" s="8">
        <v>-3.5499999999999972</v>
      </c>
      <c r="G20" s="6">
        <f t="shared" si="0"/>
        <v>-13.179999999999993</v>
      </c>
      <c r="H20" s="6">
        <f t="shared" si="1"/>
        <v>-1.3179999999999992</v>
      </c>
      <c r="J20" s="6">
        <v>0.25</v>
      </c>
      <c r="L20" s="7">
        <v>19.37</v>
      </c>
      <c r="M20" s="8">
        <v>18.309999999999999</v>
      </c>
      <c r="N20" s="16">
        <f t="shared" si="2"/>
        <v>1.0600000000000023</v>
      </c>
      <c r="O20" s="8">
        <v>77.319999999999993</v>
      </c>
      <c r="P20" s="8">
        <v>75.34</v>
      </c>
      <c r="Q20" s="16">
        <f t="shared" si="3"/>
        <v>1.9799999999999898</v>
      </c>
      <c r="R20" s="8">
        <v>78.42</v>
      </c>
      <c r="S20" s="7">
        <v>75.010000000000005</v>
      </c>
      <c r="T20" s="16">
        <f t="shared" si="4"/>
        <v>3.4099999999999966</v>
      </c>
      <c r="U20" s="7">
        <v>71.83</v>
      </c>
      <c r="V20" s="16">
        <f t="shared" si="5"/>
        <v>3.1800000000000068</v>
      </c>
      <c r="W20" s="7">
        <v>79.97</v>
      </c>
      <c r="X20" s="7">
        <v>76.42</v>
      </c>
      <c r="Y20" s="16">
        <f t="shared" si="6"/>
        <v>3.5499999999999972</v>
      </c>
      <c r="Z20" s="17">
        <f t="shared" si="7"/>
        <v>1.0983333333333327</v>
      </c>
      <c r="AA20" s="7"/>
    </row>
    <row r="21" spans="1:27" customFormat="1" x14ac:dyDescent="0.2">
      <c r="A21" s="6">
        <v>20</v>
      </c>
      <c r="B21" s="8">
        <v>-0.25</v>
      </c>
      <c r="C21" s="7">
        <v>-0.17999999999999261</v>
      </c>
      <c r="D21" s="8">
        <v>-2.2099999999999937</v>
      </c>
      <c r="E21" s="7">
        <v>-2.5799999999999983</v>
      </c>
      <c r="F21" s="8">
        <v>-3.0600000000000023</v>
      </c>
      <c r="G21" s="6">
        <f t="shared" si="0"/>
        <v>-8.2799999999999869</v>
      </c>
      <c r="H21" s="6">
        <f t="shared" si="1"/>
        <v>-0.82799999999999874</v>
      </c>
      <c r="J21" s="6">
        <v>0.71000000000000796</v>
      </c>
      <c r="L21" s="7">
        <v>18.28</v>
      </c>
      <c r="M21" s="8">
        <v>18.03</v>
      </c>
      <c r="N21" s="16">
        <f t="shared" si="2"/>
        <v>0.25</v>
      </c>
      <c r="O21" s="8">
        <v>72.97</v>
      </c>
      <c r="P21" s="8">
        <v>72.790000000000006</v>
      </c>
      <c r="Q21" s="16">
        <f t="shared" si="3"/>
        <v>0.17999999999999261</v>
      </c>
      <c r="R21" s="8">
        <v>80.959999999999994</v>
      </c>
      <c r="S21" s="7">
        <v>78.75</v>
      </c>
      <c r="T21" s="16">
        <f t="shared" si="4"/>
        <v>2.2099999999999937</v>
      </c>
      <c r="U21" s="7">
        <v>76.17</v>
      </c>
      <c r="V21" s="16">
        <f t="shared" si="5"/>
        <v>2.5799999999999983</v>
      </c>
      <c r="W21" s="7">
        <v>74.16</v>
      </c>
      <c r="X21" s="7">
        <v>71.099999999999994</v>
      </c>
      <c r="Y21" s="16">
        <f t="shared" si="6"/>
        <v>3.0600000000000023</v>
      </c>
      <c r="Z21" s="17">
        <f t="shared" si="7"/>
        <v>0.68999999999999895</v>
      </c>
      <c r="AA21" s="7"/>
    </row>
    <row r="22" spans="1:27" x14ac:dyDescent="0.2">
      <c r="N22" s="21"/>
      <c r="Q22" s="21"/>
      <c r="T22" s="21"/>
      <c r="V22" s="21"/>
      <c r="Y22" s="21"/>
    </row>
    <row r="23" spans="1:27" x14ac:dyDescent="0.2">
      <c r="N23" s="21"/>
      <c r="Q23" s="21"/>
      <c r="T23" s="21"/>
      <c r="V23" s="21"/>
      <c r="Y23" s="21"/>
    </row>
    <row r="24" spans="1:27" x14ac:dyDescent="0.2">
      <c r="N24" s="21"/>
      <c r="Q24" s="21"/>
      <c r="T24" s="21"/>
      <c r="V24" s="21"/>
      <c r="Y24" s="21"/>
    </row>
    <row r="25" spans="1:27" x14ac:dyDescent="0.2">
      <c r="N25" s="21"/>
      <c r="Q25" s="21"/>
      <c r="T25" s="21"/>
      <c r="V25" s="21"/>
      <c r="Y25" s="21"/>
    </row>
    <row r="26" spans="1:27" x14ac:dyDescent="0.2">
      <c r="N26" s="21"/>
      <c r="Q26" s="21"/>
      <c r="T26" s="21"/>
      <c r="V26" s="21"/>
      <c r="Y26" s="21"/>
    </row>
    <row r="27" spans="1:27" x14ac:dyDescent="0.2">
      <c r="N27" s="21"/>
      <c r="Q27" s="21"/>
      <c r="T27" s="21"/>
      <c r="V27" s="21"/>
      <c r="Y27" s="21"/>
    </row>
    <row r="28" spans="1:27" x14ac:dyDescent="0.2">
      <c r="N28" s="21"/>
      <c r="Q28" s="21"/>
      <c r="T28" s="21"/>
      <c r="V28" s="21"/>
      <c r="Y28" s="21"/>
    </row>
    <row r="29" spans="1:27" x14ac:dyDescent="0.2">
      <c r="N29" s="21"/>
      <c r="Q29" s="21"/>
      <c r="T29" s="21"/>
      <c r="V29" s="21"/>
      <c r="Y29" s="21"/>
    </row>
    <row r="30" spans="1:27" x14ac:dyDescent="0.2">
      <c r="N30" s="21"/>
      <c r="Q30" s="21"/>
      <c r="T30" s="21"/>
      <c r="V30" s="21"/>
      <c r="Y30" s="21"/>
    </row>
    <row r="31" spans="1:27" x14ac:dyDescent="0.2">
      <c r="N31" s="21"/>
      <c r="Q31" s="21"/>
      <c r="T31" s="21"/>
      <c r="V31" s="21"/>
      <c r="Y31" s="21"/>
    </row>
    <row r="32" spans="1:27" x14ac:dyDescent="0.2">
      <c r="N32" s="21"/>
      <c r="Q32" s="21"/>
      <c r="T32" s="21"/>
      <c r="V32" s="21"/>
      <c r="Y32" s="21"/>
    </row>
    <row r="33" spans="14:25" x14ac:dyDescent="0.2">
      <c r="N33" s="21"/>
      <c r="Q33" s="21"/>
      <c r="T33" s="21"/>
      <c r="V33" s="21"/>
      <c r="Y33" s="21"/>
    </row>
    <row r="34" spans="14:25" x14ac:dyDescent="0.2">
      <c r="N34" s="21"/>
      <c r="Q34" s="21"/>
      <c r="T34" s="21"/>
      <c r="V34" s="21"/>
      <c r="Y34" s="21"/>
    </row>
    <row r="35" spans="14:25" x14ac:dyDescent="0.2">
      <c r="N35" s="21"/>
      <c r="Q35" s="21"/>
      <c r="T35" s="21"/>
      <c r="V35" s="21"/>
      <c r="Y35" s="21"/>
    </row>
    <row r="36" spans="14:25" x14ac:dyDescent="0.2">
      <c r="N36" s="21"/>
      <c r="Q36" s="21"/>
      <c r="T36" s="21"/>
      <c r="V36" s="21"/>
      <c r="Y36" s="21"/>
    </row>
    <row r="37" spans="14:25" x14ac:dyDescent="0.2">
      <c r="N37" s="21"/>
      <c r="Q37" s="21"/>
      <c r="T37" s="21"/>
      <c r="V37" s="21"/>
      <c r="Y37" s="21"/>
    </row>
    <row r="38" spans="14:25" x14ac:dyDescent="0.2">
      <c r="N38" s="21"/>
      <c r="Q38" s="21"/>
      <c r="T38" s="21"/>
      <c r="V38" s="21"/>
      <c r="Y38" s="21"/>
    </row>
    <row r="39" spans="14:25" x14ac:dyDescent="0.2">
      <c r="N39" s="21"/>
      <c r="Q39" s="21"/>
      <c r="T39" s="21"/>
      <c r="V39" s="21"/>
      <c r="Y39" s="21"/>
    </row>
    <row r="40" spans="14:25" x14ac:dyDescent="0.2">
      <c r="N40" s="21"/>
      <c r="Q40" s="21"/>
      <c r="T40" s="21"/>
      <c r="V40" s="21"/>
      <c r="Y40" s="21"/>
    </row>
    <row r="41" spans="14:25" x14ac:dyDescent="0.2">
      <c r="N41" s="21"/>
      <c r="Q41" s="21"/>
      <c r="T41" s="21"/>
      <c r="V41" s="21"/>
      <c r="Y41" s="21"/>
    </row>
    <row r="42" spans="14:25" x14ac:dyDescent="0.2">
      <c r="N42" s="21"/>
      <c r="Q42" s="21"/>
      <c r="T42" s="21"/>
      <c r="V42" s="21"/>
      <c r="Y42" s="21"/>
    </row>
    <row r="43" spans="14:25" x14ac:dyDescent="0.2">
      <c r="N43" s="21"/>
      <c r="Q43" s="21"/>
      <c r="T43" s="21"/>
      <c r="V43" s="21"/>
      <c r="Y43" s="21"/>
    </row>
    <row r="44" spans="14:25" x14ac:dyDescent="0.2">
      <c r="N44" s="21"/>
      <c r="Q44" s="21"/>
      <c r="T44" s="21"/>
      <c r="V44" s="21"/>
      <c r="Y44" s="21"/>
    </row>
    <row r="45" spans="14:25" x14ac:dyDescent="0.2">
      <c r="N45" s="21"/>
      <c r="Q45" s="21"/>
      <c r="T45" s="21"/>
      <c r="V45" s="21"/>
      <c r="Y45" s="21"/>
    </row>
    <row r="46" spans="14:25" x14ac:dyDescent="0.2">
      <c r="N46" s="21"/>
      <c r="Q46" s="21"/>
      <c r="T46" s="21"/>
      <c r="V46" s="21"/>
      <c r="Y46" s="21"/>
    </row>
    <row r="47" spans="14:25" x14ac:dyDescent="0.2">
      <c r="N47" s="21"/>
      <c r="Q47" s="21"/>
      <c r="T47" s="21"/>
      <c r="V47" s="21"/>
      <c r="Y47" s="21"/>
    </row>
    <row r="48" spans="14:25" x14ac:dyDescent="0.2">
      <c r="N48" s="21"/>
      <c r="Q48" s="21"/>
      <c r="T48" s="21"/>
      <c r="V48" s="21"/>
      <c r="Y48" s="21"/>
    </row>
    <row r="49" spans="14:25" x14ac:dyDescent="0.2">
      <c r="N49" s="21"/>
      <c r="Q49" s="21"/>
      <c r="T49" s="21"/>
      <c r="V49" s="21"/>
      <c r="Y49" s="21"/>
    </row>
    <row r="50" spans="14:25" x14ac:dyDescent="0.2">
      <c r="N50" s="21"/>
      <c r="Q50" s="21"/>
      <c r="T50" s="21"/>
      <c r="V50" s="21"/>
      <c r="Y50" s="21"/>
    </row>
    <row r="51" spans="14:25" x14ac:dyDescent="0.2">
      <c r="N51" s="21"/>
      <c r="Q51" s="21"/>
      <c r="T51" s="21"/>
      <c r="V51" s="21"/>
      <c r="Y51" s="21"/>
    </row>
    <row r="52" spans="14:25" x14ac:dyDescent="0.2">
      <c r="N52" s="21"/>
      <c r="Q52" s="21"/>
      <c r="T52" s="21"/>
      <c r="V52" s="21"/>
      <c r="Y52" s="21"/>
    </row>
    <row r="53" spans="14:25" x14ac:dyDescent="0.2">
      <c r="N53" s="21"/>
      <c r="Q53" s="21"/>
      <c r="T53" s="21"/>
      <c r="V53" s="21"/>
      <c r="Y53" s="21"/>
    </row>
    <row r="54" spans="14:25" x14ac:dyDescent="0.2">
      <c r="N54" s="21"/>
      <c r="Q54" s="21"/>
      <c r="T54" s="21"/>
      <c r="V54" s="21"/>
      <c r="Y54" s="21"/>
    </row>
    <row r="55" spans="14:25" x14ac:dyDescent="0.2">
      <c r="N55" s="21"/>
      <c r="Q55" s="21"/>
      <c r="T55" s="21"/>
      <c r="V55" s="21"/>
      <c r="Y55" s="21"/>
    </row>
    <row r="56" spans="14:25" x14ac:dyDescent="0.2">
      <c r="N56" s="21"/>
      <c r="Q56" s="21"/>
      <c r="T56" s="21"/>
      <c r="V56" s="21"/>
      <c r="Y56" s="21"/>
    </row>
    <row r="57" spans="14:25" x14ac:dyDescent="0.2">
      <c r="N57" s="21"/>
      <c r="Q57" s="21"/>
      <c r="T57" s="21"/>
      <c r="V57" s="21"/>
      <c r="Y57" s="21"/>
    </row>
    <row r="58" spans="14:25" x14ac:dyDescent="0.2">
      <c r="N58" s="21"/>
      <c r="Q58" s="21"/>
      <c r="T58" s="21"/>
      <c r="V58" s="21"/>
      <c r="Y58" s="21"/>
    </row>
    <row r="59" spans="14:25" x14ac:dyDescent="0.2">
      <c r="N59" s="21"/>
      <c r="Q59" s="21"/>
      <c r="T59" s="21"/>
      <c r="V59" s="21"/>
      <c r="Y59" s="21"/>
    </row>
    <row r="60" spans="14:25" x14ac:dyDescent="0.2">
      <c r="N60" s="21"/>
      <c r="Q60" s="21"/>
      <c r="T60" s="21"/>
      <c r="V60" s="21"/>
      <c r="Y60" s="21"/>
    </row>
    <row r="61" spans="14:25" x14ac:dyDescent="0.2">
      <c r="N61" s="21"/>
      <c r="Q61" s="21"/>
      <c r="T61" s="21"/>
      <c r="V61" s="21"/>
      <c r="Y61" s="21"/>
    </row>
    <row r="62" spans="14:25" x14ac:dyDescent="0.2">
      <c r="N62" s="21"/>
      <c r="Q62" s="21"/>
      <c r="T62" s="21"/>
      <c r="V62" s="21"/>
      <c r="Y62" s="21"/>
    </row>
    <row r="63" spans="14:25" x14ac:dyDescent="0.2">
      <c r="N63" s="21"/>
      <c r="Q63" s="21"/>
      <c r="T63" s="21"/>
      <c r="V63" s="21"/>
      <c r="Y63" s="21"/>
    </row>
    <row r="64" spans="14:25" x14ac:dyDescent="0.2">
      <c r="N64" s="21"/>
      <c r="Q64" s="21"/>
      <c r="T64" s="21"/>
      <c r="V64" s="21"/>
      <c r="Y64" s="21"/>
    </row>
    <row r="65" spans="14:25" x14ac:dyDescent="0.2">
      <c r="N65" s="21"/>
      <c r="Q65" s="21"/>
      <c r="T65" s="21"/>
      <c r="V65" s="21"/>
      <c r="Y65" s="21"/>
    </row>
    <row r="66" spans="14:25" x14ac:dyDescent="0.2">
      <c r="N66" s="21"/>
      <c r="Q66" s="21"/>
      <c r="T66" s="21"/>
      <c r="V66" s="21"/>
      <c r="Y66" s="21"/>
    </row>
    <row r="67" spans="14:25" x14ac:dyDescent="0.2">
      <c r="N67" s="21"/>
      <c r="Q67" s="21"/>
      <c r="T67" s="21"/>
      <c r="V67" s="21"/>
      <c r="Y67" s="21"/>
    </row>
    <row r="68" spans="14:25" x14ac:dyDescent="0.2">
      <c r="N68" s="21"/>
      <c r="Q68" s="21"/>
      <c r="T68" s="21"/>
      <c r="V68" s="21"/>
      <c r="Y68" s="21"/>
    </row>
    <row r="69" spans="14:25" x14ac:dyDescent="0.2">
      <c r="N69" s="21"/>
      <c r="Q69" s="21"/>
      <c r="T69" s="21"/>
      <c r="V69" s="21"/>
      <c r="Y69" s="21"/>
    </row>
    <row r="70" spans="14:25" x14ac:dyDescent="0.2">
      <c r="N70" s="21"/>
      <c r="Q70" s="21"/>
      <c r="T70" s="21"/>
      <c r="V70" s="21"/>
      <c r="Y70" s="21"/>
    </row>
    <row r="71" spans="14:25" x14ac:dyDescent="0.2">
      <c r="N71" s="21"/>
      <c r="Q71" s="21"/>
      <c r="T71" s="21"/>
      <c r="V71" s="21"/>
      <c r="Y71" s="21"/>
    </row>
    <row r="72" spans="14:25" x14ac:dyDescent="0.2">
      <c r="N72" s="21"/>
      <c r="Q72" s="21"/>
      <c r="T72" s="21"/>
      <c r="V72" s="21"/>
      <c r="Y72" s="21"/>
    </row>
    <row r="73" spans="14:25" x14ac:dyDescent="0.2">
      <c r="N73" s="21"/>
      <c r="Q73" s="21"/>
      <c r="T73" s="21"/>
      <c r="V73" s="21"/>
      <c r="Y73" s="21"/>
    </row>
    <row r="74" spans="14:25" x14ac:dyDescent="0.2">
      <c r="N74" s="21"/>
      <c r="Q74" s="21"/>
      <c r="T74" s="21"/>
      <c r="V74" s="21"/>
      <c r="Y74" s="21"/>
    </row>
    <row r="75" spans="14:25" x14ac:dyDescent="0.2">
      <c r="N75" s="21"/>
      <c r="Q75" s="21"/>
      <c r="T75" s="21"/>
      <c r="V75" s="21"/>
      <c r="Y75" s="21"/>
    </row>
    <row r="76" spans="14:25" x14ac:dyDescent="0.2">
      <c r="N76" s="21"/>
      <c r="Q76" s="21"/>
      <c r="T76" s="21"/>
      <c r="V76" s="21"/>
      <c r="Y76" s="21"/>
    </row>
    <row r="77" spans="14:25" x14ac:dyDescent="0.2">
      <c r="N77" s="21"/>
      <c r="Q77" s="21"/>
      <c r="T77" s="21"/>
      <c r="V77" s="21"/>
      <c r="Y77" s="21"/>
    </row>
    <row r="78" spans="14:25" x14ac:dyDescent="0.2">
      <c r="N78" s="21"/>
      <c r="Q78" s="21"/>
      <c r="T78" s="21"/>
      <c r="V78" s="21"/>
      <c r="Y78" s="21"/>
    </row>
    <row r="79" spans="14:25" x14ac:dyDescent="0.2">
      <c r="N79" s="21"/>
      <c r="Q79" s="21"/>
      <c r="T79" s="21"/>
      <c r="V79" s="21"/>
      <c r="Y79" s="21"/>
    </row>
    <row r="80" spans="14:25" x14ac:dyDescent="0.2">
      <c r="N80" s="21"/>
      <c r="Q80" s="21"/>
      <c r="T80" s="21"/>
      <c r="V80" s="21"/>
      <c r="Y80" s="21"/>
    </row>
    <row r="81" spans="14:25" x14ac:dyDescent="0.2">
      <c r="N81" s="21"/>
      <c r="Q81" s="21"/>
      <c r="T81" s="21"/>
      <c r="V81" s="21"/>
      <c r="Y81" s="21"/>
    </row>
    <row r="82" spans="14:25" x14ac:dyDescent="0.2">
      <c r="N82" s="21"/>
      <c r="Q82" s="21"/>
      <c r="T82" s="21"/>
      <c r="V82" s="21"/>
      <c r="Y82" s="21"/>
    </row>
    <row r="83" spans="14:25" x14ac:dyDescent="0.2">
      <c r="N83" s="21"/>
      <c r="Q83" s="21"/>
      <c r="T83" s="21"/>
      <c r="V83" s="21"/>
      <c r="Y83" s="21"/>
    </row>
    <row r="84" spans="14:25" x14ac:dyDescent="0.2">
      <c r="N84" s="21"/>
      <c r="Q84" s="21"/>
      <c r="T84" s="21"/>
      <c r="V84" s="21"/>
      <c r="Y84" s="21"/>
    </row>
    <row r="85" spans="14:25" x14ac:dyDescent="0.2">
      <c r="N85" s="21"/>
      <c r="Q85" s="21"/>
      <c r="T85" s="21"/>
      <c r="V85" s="21"/>
      <c r="Y85" s="21"/>
    </row>
    <row r="86" spans="14:25" x14ac:dyDescent="0.2">
      <c r="N86" s="21"/>
      <c r="Q86" s="21"/>
      <c r="T86" s="21"/>
      <c r="V86" s="21"/>
      <c r="Y86" s="21"/>
    </row>
    <row r="87" spans="14:25" x14ac:dyDescent="0.2">
      <c r="N87" s="21"/>
      <c r="Q87" s="21"/>
      <c r="T87" s="21"/>
      <c r="V87" s="21"/>
      <c r="Y87" s="21"/>
    </row>
    <row r="88" spans="14:25" x14ac:dyDescent="0.2">
      <c r="N88" s="21"/>
      <c r="Q88" s="21"/>
      <c r="T88" s="21"/>
      <c r="V88" s="21"/>
      <c r="Y88" s="21"/>
    </row>
    <row r="89" spans="14:25" x14ac:dyDescent="0.2">
      <c r="N89" s="21"/>
      <c r="Q89" s="21"/>
      <c r="T89" s="21"/>
      <c r="V89" s="21"/>
      <c r="Y89" s="21"/>
    </row>
    <row r="90" spans="14:25" x14ac:dyDescent="0.2">
      <c r="N90" s="21"/>
      <c r="Q90" s="21"/>
      <c r="T90" s="21"/>
      <c r="V90" s="21"/>
      <c r="Y90" s="21"/>
    </row>
    <row r="91" spans="14:25" x14ac:dyDescent="0.2">
      <c r="N91" s="21"/>
      <c r="Q91" s="21"/>
      <c r="T91" s="21"/>
      <c r="V91" s="21"/>
      <c r="Y91" s="21"/>
    </row>
    <row r="92" spans="14:25" x14ac:dyDescent="0.2">
      <c r="N92" s="21"/>
      <c r="Q92" s="21"/>
      <c r="T92" s="21"/>
      <c r="V92" s="21"/>
      <c r="Y92" s="21"/>
    </row>
    <row r="93" spans="14:25" x14ac:dyDescent="0.2">
      <c r="N93" s="21"/>
      <c r="Q93" s="21"/>
      <c r="T93" s="21"/>
      <c r="V93" s="21"/>
      <c r="Y93" s="21"/>
    </row>
    <row r="94" spans="14:25" x14ac:dyDescent="0.2">
      <c r="N94" s="21"/>
      <c r="Q94" s="21"/>
      <c r="T94" s="21"/>
      <c r="V94" s="21"/>
      <c r="Y94" s="21"/>
    </row>
    <row r="95" spans="14:25" x14ac:dyDescent="0.2">
      <c r="N95" s="21"/>
      <c r="Q95" s="21"/>
      <c r="T95" s="21"/>
      <c r="V95" s="21"/>
      <c r="Y95" s="21"/>
    </row>
    <row r="96" spans="14:25" x14ac:dyDescent="0.2">
      <c r="N96" s="21"/>
      <c r="Q96" s="21"/>
      <c r="T96" s="21"/>
      <c r="V96" s="21"/>
      <c r="Y96" s="21"/>
    </row>
    <row r="97" spans="14:25" x14ac:dyDescent="0.2">
      <c r="N97" s="21"/>
      <c r="Q97" s="21"/>
      <c r="T97" s="21"/>
      <c r="V97" s="21"/>
      <c r="Y97" s="21"/>
    </row>
    <row r="98" spans="14:25" x14ac:dyDescent="0.2">
      <c r="N98" s="21"/>
      <c r="Q98" s="21"/>
      <c r="T98" s="21"/>
      <c r="V98" s="21"/>
      <c r="Y98" s="21"/>
    </row>
    <row r="99" spans="14:25" x14ac:dyDescent="0.2">
      <c r="N99" s="21"/>
      <c r="Q99" s="21"/>
      <c r="T99" s="21"/>
      <c r="V99" s="21"/>
      <c r="Y99" s="21"/>
    </row>
    <row r="100" spans="14:25" x14ac:dyDescent="0.2">
      <c r="N100" s="21"/>
      <c r="Q100" s="21"/>
      <c r="T100" s="21"/>
      <c r="V100" s="21"/>
      <c r="Y100" s="21"/>
    </row>
    <row r="101" spans="14:25" x14ac:dyDescent="0.2">
      <c r="N101" s="21"/>
      <c r="Q101" s="21"/>
      <c r="T101" s="21"/>
      <c r="V101" s="21"/>
      <c r="Y101" s="21"/>
    </row>
    <row r="102" spans="14:25" x14ac:dyDescent="0.2">
      <c r="N102" s="21"/>
      <c r="Q102" s="21"/>
      <c r="T102" s="21"/>
      <c r="V102" s="21"/>
      <c r="Y102" s="21"/>
    </row>
    <row r="103" spans="14:25" x14ac:dyDescent="0.2">
      <c r="N103" s="21"/>
      <c r="Q103" s="21"/>
      <c r="T103" s="21"/>
      <c r="V103" s="21"/>
      <c r="Y103" s="21"/>
    </row>
    <row r="104" spans="14:25" x14ac:dyDescent="0.2">
      <c r="N104" s="21"/>
      <c r="Q104" s="21"/>
      <c r="T104" s="21"/>
      <c r="V104" s="21"/>
      <c r="Y104" s="21"/>
    </row>
    <row r="105" spans="14:25" x14ac:dyDescent="0.2">
      <c r="N105" s="21"/>
      <c r="Q105" s="21"/>
      <c r="T105" s="21"/>
      <c r="V105" s="21"/>
      <c r="Y105" s="21"/>
    </row>
    <row r="106" spans="14:25" x14ac:dyDescent="0.2">
      <c r="N106" s="21"/>
      <c r="Q106" s="21"/>
      <c r="T106" s="21"/>
      <c r="V106" s="21"/>
      <c r="Y106" s="21"/>
    </row>
    <row r="107" spans="14:25" x14ac:dyDescent="0.2">
      <c r="N107" s="21"/>
      <c r="Q107" s="21"/>
      <c r="T107" s="21"/>
      <c r="V107" s="21"/>
      <c r="Y107" s="21"/>
    </row>
    <row r="108" spans="14:25" x14ac:dyDescent="0.2">
      <c r="N108" s="21"/>
      <c r="Q108" s="21"/>
      <c r="T108" s="21"/>
      <c r="V108" s="21"/>
      <c r="Y108" s="21"/>
    </row>
    <row r="109" spans="14:25" x14ac:dyDescent="0.2">
      <c r="N109" s="21"/>
      <c r="Q109" s="21"/>
      <c r="T109" s="21"/>
      <c r="V109" s="21"/>
      <c r="Y109" s="21"/>
    </row>
    <row r="110" spans="14:25" x14ac:dyDescent="0.2">
      <c r="N110" s="21"/>
      <c r="Q110" s="21"/>
      <c r="T110" s="21"/>
      <c r="V110" s="21"/>
      <c r="Y110" s="21"/>
    </row>
    <row r="111" spans="14:25" x14ac:dyDescent="0.2">
      <c r="N111" s="21"/>
      <c r="Q111" s="21"/>
      <c r="T111" s="21"/>
      <c r="V111" s="21"/>
      <c r="Y111" s="21"/>
    </row>
    <row r="112" spans="14:25" x14ac:dyDescent="0.2">
      <c r="N112" s="21"/>
      <c r="Q112" s="21"/>
      <c r="T112" s="21"/>
      <c r="V112" s="21"/>
      <c r="Y112" s="21"/>
    </row>
    <row r="113" spans="14:25" x14ac:dyDescent="0.2">
      <c r="N113" s="21"/>
      <c r="Q113" s="21"/>
      <c r="T113" s="21"/>
      <c r="V113" s="21"/>
      <c r="Y113" s="21"/>
    </row>
    <row r="114" spans="14:25" x14ac:dyDescent="0.2">
      <c r="N114" s="21"/>
      <c r="Q114" s="21"/>
      <c r="T114" s="21"/>
      <c r="V114" s="21"/>
      <c r="Y114" s="21"/>
    </row>
    <row r="115" spans="14:25" x14ac:dyDescent="0.2">
      <c r="N115" s="21"/>
      <c r="Q115" s="21"/>
      <c r="T115" s="21"/>
      <c r="V115" s="21"/>
      <c r="Y115" s="21"/>
    </row>
    <row r="116" spans="14:25" x14ac:dyDescent="0.2">
      <c r="N116" s="21"/>
      <c r="Q116" s="21"/>
      <c r="T116" s="21"/>
      <c r="V116" s="21"/>
      <c r="Y116" s="21"/>
    </row>
    <row r="117" spans="14:25" x14ac:dyDescent="0.2">
      <c r="N117" s="21"/>
      <c r="Q117" s="21"/>
      <c r="T117" s="21"/>
      <c r="V117" s="21"/>
      <c r="Y117" s="21"/>
    </row>
    <row r="118" spans="14:25" x14ac:dyDescent="0.2">
      <c r="N118" s="21"/>
      <c r="Q118" s="21"/>
      <c r="T118" s="21"/>
      <c r="V118" s="21"/>
      <c r="Y118" s="21"/>
    </row>
    <row r="119" spans="14:25" x14ac:dyDescent="0.2">
      <c r="N119" s="21"/>
      <c r="Q119" s="21"/>
      <c r="T119" s="21"/>
      <c r="V119" s="21"/>
      <c r="Y119" s="21"/>
    </row>
    <row r="120" spans="14:25" x14ac:dyDescent="0.2">
      <c r="N120" s="21"/>
      <c r="Q120" s="21"/>
      <c r="T120" s="21"/>
      <c r="V120" s="21"/>
      <c r="Y120" s="21"/>
    </row>
    <row r="121" spans="14:25" x14ac:dyDescent="0.2">
      <c r="N121" s="21"/>
      <c r="Q121" s="21"/>
      <c r="T121" s="21"/>
      <c r="V121" s="21"/>
      <c r="Y121" s="21"/>
    </row>
    <row r="122" spans="14:25" x14ac:dyDescent="0.2">
      <c r="N122" s="21"/>
      <c r="Q122" s="21"/>
      <c r="T122" s="21"/>
      <c r="V122" s="21"/>
      <c r="Y122" s="21"/>
    </row>
    <row r="123" spans="14:25" x14ac:dyDescent="0.2">
      <c r="N123" s="21"/>
      <c r="Q123" s="21"/>
      <c r="T123" s="21"/>
      <c r="V123" s="21"/>
      <c r="Y123" s="21"/>
    </row>
    <row r="124" spans="14:25" x14ac:dyDescent="0.2">
      <c r="N124" s="21"/>
      <c r="Q124" s="21"/>
      <c r="T124" s="21"/>
      <c r="V124" s="21"/>
      <c r="Y124" s="21"/>
    </row>
    <row r="125" spans="14:25" x14ac:dyDescent="0.2">
      <c r="N125" s="21"/>
      <c r="Q125" s="21"/>
      <c r="T125" s="21"/>
      <c r="V125" s="21"/>
      <c r="Y125" s="21"/>
    </row>
    <row r="126" spans="14:25" x14ac:dyDescent="0.2">
      <c r="N126" s="21"/>
      <c r="Q126" s="21"/>
      <c r="T126" s="21"/>
      <c r="V126" s="21"/>
      <c r="Y126" s="21"/>
    </row>
    <row r="127" spans="14:25" x14ac:dyDescent="0.2">
      <c r="N127" s="21"/>
      <c r="Q127" s="21"/>
      <c r="T127" s="21"/>
      <c r="V127" s="21"/>
      <c r="Y127" s="21"/>
    </row>
    <row r="128" spans="14:25" x14ac:dyDescent="0.2">
      <c r="N128" s="21"/>
      <c r="Q128" s="21"/>
      <c r="T128" s="21"/>
      <c r="V128" s="21"/>
      <c r="Y128" s="21"/>
    </row>
    <row r="129" spans="14:25" x14ac:dyDescent="0.2">
      <c r="N129" s="21"/>
      <c r="Q129" s="21"/>
      <c r="T129" s="21"/>
      <c r="V129" s="21"/>
      <c r="Y129" s="21"/>
    </row>
    <row r="130" spans="14:25" x14ac:dyDescent="0.2">
      <c r="N130" s="21"/>
      <c r="Q130" s="21"/>
      <c r="T130" s="21"/>
      <c r="V130" s="21"/>
      <c r="Y130" s="21"/>
    </row>
    <row r="131" spans="14:25" x14ac:dyDescent="0.2">
      <c r="N131" s="21"/>
      <c r="Q131" s="21"/>
      <c r="T131" s="21"/>
      <c r="V131" s="21"/>
      <c r="Y131" s="21"/>
    </row>
    <row r="132" spans="14:25" x14ac:dyDescent="0.2">
      <c r="N132" s="21"/>
      <c r="Q132" s="21"/>
      <c r="T132" s="21"/>
      <c r="V132" s="21"/>
      <c r="Y132" s="21"/>
    </row>
    <row r="133" spans="14:25" x14ac:dyDescent="0.2">
      <c r="N133" s="21"/>
      <c r="Q133" s="21"/>
      <c r="T133" s="21"/>
      <c r="V133" s="21"/>
      <c r="Y133" s="21"/>
    </row>
    <row r="134" spans="14:25" x14ac:dyDescent="0.2">
      <c r="N134" s="21"/>
      <c r="Q134" s="21"/>
      <c r="T134" s="21"/>
      <c r="V134" s="21"/>
      <c r="Y134" s="21"/>
    </row>
    <row r="135" spans="14:25" x14ac:dyDescent="0.2">
      <c r="N135" s="21"/>
      <c r="Q135" s="21"/>
      <c r="T135" s="21"/>
      <c r="V135" s="21"/>
      <c r="Y135" s="21"/>
    </row>
    <row r="136" spans="14:25" x14ac:dyDescent="0.2">
      <c r="N136" s="21"/>
      <c r="Q136" s="21"/>
      <c r="T136" s="21"/>
      <c r="V136" s="21"/>
      <c r="Y136" s="21"/>
    </row>
    <row r="137" spans="14:25" x14ac:dyDescent="0.2">
      <c r="N137" s="21"/>
      <c r="Q137" s="21"/>
      <c r="T137" s="21"/>
      <c r="V137" s="21"/>
      <c r="Y137" s="21"/>
    </row>
    <row r="138" spans="14:25" x14ac:dyDescent="0.2">
      <c r="N138" s="21"/>
      <c r="Q138" s="21"/>
      <c r="T138" s="21"/>
      <c r="V138" s="21"/>
      <c r="Y138" s="21"/>
    </row>
    <row r="139" spans="14:25" x14ac:dyDescent="0.2">
      <c r="N139" s="21"/>
      <c r="Q139" s="21"/>
      <c r="T139" s="21"/>
      <c r="V139" s="21"/>
      <c r="Y139" s="21"/>
    </row>
    <row r="140" spans="14:25" x14ac:dyDescent="0.2">
      <c r="N140" s="21"/>
      <c r="Q140" s="21"/>
      <c r="T140" s="21"/>
      <c r="V140" s="21"/>
      <c r="Y140" s="21"/>
    </row>
    <row r="141" spans="14:25" x14ac:dyDescent="0.2">
      <c r="N141" s="21"/>
      <c r="Q141" s="21"/>
      <c r="T141" s="21"/>
      <c r="V141" s="21"/>
      <c r="Y141" s="21"/>
    </row>
    <row r="142" spans="14:25" x14ac:dyDescent="0.2">
      <c r="N142" s="21"/>
      <c r="Q142" s="21"/>
      <c r="T142" s="21"/>
      <c r="V142" s="21"/>
      <c r="Y142" s="21"/>
    </row>
    <row r="143" spans="14:25" x14ac:dyDescent="0.2">
      <c r="N143" s="21"/>
      <c r="Q143" s="21"/>
      <c r="T143" s="21"/>
      <c r="V143" s="21"/>
      <c r="Y143" s="21"/>
    </row>
    <row r="144" spans="14:25" x14ac:dyDescent="0.2">
      <c r="N144" s="21"/>
      <c r="Q144" s="21"/>
      <c r="T144" s="21"/>
      <c r="V144" s="21"/>
      <c r="Y144" s="21"/>
    </row>
    <row r="145" spans="14:25" x14ac:dyDescent="0.2">
      <c r="N145" s="21"/>
      <c r="Q145" s="21"/>
      <c r="T145" s="21"/>
      <c r="V145" s="21"/>
      <c r="Y145" s="21"/>
    </row>
    <row r="146" spans="14:25" x14ac:dyDescent="0.2">
      <c r="N146" s="21"/>
      <c r="Q146" s="21"/>
      <c r="T146" s="21"/>
      <c r="V146" s="21"/>
      <c r="Y146" s="21"/>
    </row>
    <row r="147" spans="14:25" x14ac:dyDescent="0.2">
      <c r="N147" s="21"/>
      <c r="Q147" s="21"/>
      <c r="T147" s="21"/>
      <c r="V147" s="21"/>
      <c r="Y147" s="21"/>
    </row>
    <row r="148" spans="14:25" x14ac:dyDescent="0.2">
      <c r="N148" s="21"/>
      <c r="Q148" s="21"/>
      <c r="T148" s="21"/>
      <c r="V148" s="21"/>
      <c r="Y148" s="21"/>
    </row>
    <row r="149" spans="14:25" x14ac:dyDescent="0.2">
      <c r="N149" s="21"/>
      <c r="Q149" s="21"/>
      <c r="T149" s="21"/>
      <c r="V149" s="21"/>
      <c r="Y149" s="21"/>
    </row>
    <row r="150" spans="14:25" x14ac:dyDescent="0.2">
      <c r="N150" s="21"/>
      <c r="Q150" s="21"/>
      <c r="T150" s="21"/>
      <c r="V150" s="21"/>
      <c r="Y150" s="21"/>
    </row>
    <row r="151" spans="14:25" x14ac:dyDescent="0.2">
      <c r="N151" s="21"/>
      <c r="Q151" s="21"/>
      <c r="T151" s="21"/>
      <c r="V151" s="21"/>
      <c r="Y151" s="21"/>
    </row>
    <row r="152" spans="14:25" x14ac:dyDescent="0.2">
      <c r="N152" s="21"/>
      <c r="Q152" s="21"/>
      <c r="T152" s="21"/>
      <c r="V152" s="21"/>
      <c r="Y152" s="21"/>
    </row>
    <row r="153" spans="14:25" x14ac:dyDescent="0.2">
      <c r="N153" s="21"/>
      <c r="Q153" s="21"/>
      <c r="T153" s="21"/>
      <c r="V153" s="21"/>
      <c r="Y153" s="21"/>
    </row>
    <row r="154" spans="14:25" x14ac:dyDescent="0.2">
      <c r="N154" s="21"/>
      <c r="Q154" s="21"/>
      <c r="T154" s="21"/>
      <c r="V154" s="21"/>
      <c r="Y154" s="21"/>
    </row>
    <row r="155" spans="14:25" x14ac:dyDescent="0.2">
      <c r="N155" s="21"/>
      <c r="Q155" s="21"/>
      <c r="T155" s="21"/>
      <c r="V155" s="21"/>
      <c r="Y155" s="21"/>
    </row>
    <row r="156" spans="14:25" x14ac:dyDescent="0.2">
      <c r="N156" s="21"/>
      <c r="Q156" s="21"/>
      <c r="T156" s="21"/>
      <c r="V156" s="21"/>
      <c r="Y156" s="21"/>
    </row>
    <row r="157" spans="14:25" x14ac:dyDescent="0.2">
      <c r="N157" s="21"/>
      <c r="Q157" s="21"/>
      <c r="T157" s="21"/>
      <c r="V157" s="21"/>
      <c r="Y157" s="21"/>
    </row>
    <row r="158" spans="14:25" x14ac:dyDescent="0.2">
      <c r="N158" s="21"/>
      <c r="Q158" s="21"/>
      <c r="T158" s="21"/>
      <c r="V158" s="21"/>
      <c r="Y158" s="21"/>
    </row>
    <row r="159" spans="14:25" x14ac:dyDescent="0.2">
      <c r="N159" s="21"/>
      <c r="Q159" s="21"/>
      <c r="T159" s="21"/>
      <c r="V159" s="21"/>
      <c r="Y159" s="21"/>
    </row>
    <row r="160" spans="14:25" x14ac:dyDescent="0.2">
      <c r="N160" s="21"/>
      <c r="Q160" s="21"/>
      <c r="T160" s="21"/>
      <c r="V160" s="21"/>
      <c r="Y160" s="21"/>
    </row>
    <row r="161" spans="14:25" x14ac:dyDescent="0.2">
      <c r="N161" s="21"/>
      <c r="Q161" s="21"/>
      <c r="T161" s="21"/>
      <c r="V161" s="21"/>
      <c r="Y161" s="21"/>
    </row>
    <row r="162" spans="14:25" x14ac:dyDescent="0.2">
      <c r="N162" s="21"/>
      <c r="Q162" s="21"/>
      <c r="T162" s="21"/>
      <c r="V162" s="21"/>
      <c r="Y162" s="21"/>
    </row>
    <row r="163" spans="14:25" x14ac:dyDescent="0.2">
      <c r="N163" s="21"/>
      <c r="Q163" s="21"/>
      <c r="T163" s="21"/>
      <c r="V163" s="21"/>
      <c r="Y163" s="21"/>
    </row>
    <row r="164" spans="14:25" x14ac:dyDescent="0.2">
      <c r="N164" s="21"/>
      <c r="Q164" s="21"/>
      <c r="T164" s="21"/>
      <c r="V164" s="21"/>
      <c r="Y164" s="21"/>
    </row>
    <row r="165" spans="14:25" x14ac:dyDescent="0.2">
      <c r="N165" s="21"/>
      <c r="Q165" s="21"/>
      <c r="T165" s="21"/>
      <c r="V165" s="21"/>
      <c r="Y165" s="21"/>
    </row>
    <row r="166" spans="14:25" x14ac:dyDescent="0.2">
      <c r="N166" s="21"/>
      <c r="Q166" s="21"/>
      <c r="T166" s="21"/>
      <c r="V166" s="21"/>
      <c r="Y166" s="21"/>
    </row>
    <row r="167" spans="14:25" x14ac:dyDescent="0.2">
      <c r="N167" s="21"/>
      <c r="Q167" s="21"/>
      <c r="T167" s="21"/>
      <c r="V167" s="21"/>
      <c r="Y167" s="21"/>
    </row>
    <row r="168" spans="14:25" x14ac:dyDescent="0.2">
      <c r="N168" s="21"/>
      <c r="Q168" s="21"/>
      <c r="T168" s="21"/>
      <c r="V168" s="21"/>
      <c r="Y168" s="21"/>
    </row>
    <row r="169" spans="14:25" x14ac:dyDescent="0.2">
      <c r="N169" s="21"/>
      <c r="Q169" s="21"/>
      <c r="T169" s="21"/>
      <c r="V169" s="21"/>
      <c r="Y169" s="21"/>
    </row>
    <row r="170" spans="14:25" x14ac:dyDescent="0.2">
      <c r="N170" s="21"/>
      <c r="Q170" s="21"/>
      <c r="T170" s="21"/>
      <c r="V170" s="21"/>
      <c r="Y170" s="21"/>
    </row>
    <row r="171" spans="14:25" x14ac:dyDescent="0.2">
      <c r="N171" s="21"/>
      <c r="Q171" s="21"/>
      <c r="T171" s="21"/>
      <c r="V171" s="21"/>
      <c r="Y171" s="21"/>
    </row>
    <row r="172" spans="14:25" x14ac:dyDescent="0.2">
      <c r="N172" s="21"/>
      <c r="Q172" s="21"/>
      <c r="T172" s="21"/>
      <c r="V172" s="21"/>
      <c r="Y172" s="21"/>
    </row>
    <row r="173" spans="14:25" x14ac:dyDescent="0.2">
      <c r="N173" s="21"/>
      <c r="Q173" s="21"/>
      <c r="T173" s="21"/>
      <c r="V173" s="21"/>
      <c r="Y173" s="21"/>
    </row>
    <row r="174" spans="14:25" x14ac:dyDescent="0.2">
      <c r="N174" s="21"/>
      <c r="Q174" s="21"/>
      <c r="T174" s="21"/>
      <c r="V174" s="21"/>
      <c r="Y174" s="21"/>
    </row>
    <row r="175" spans="14:25" x14ac:dyDescent="0.2">
      <c r="N175" s="21"/>
      <c r="Q175" s="21"/>
      <c r="T175" s="21"/>
      <c r="V175" s="21"/>
      <c r="Y175" s="21"/>
    </row>
    <row r="176" spans="14:25" x14ac:dyDescent="0.2">
      <c r="N176" s="21"/>
      <c r="Q176" s="21"/>
      <c r="T176" s="21"/>
      <c r="V176" s="21"/>
      <c r="Y176" s="21"/>
    </row>
    <row r="177" spans="14:25" x14ac:dyDescent="0.2">
      <c r="N177" s="21"/>
      <c r="Q177" s="21"/>
      <c r="T177" s="21"/>
      <c r="V177" s="21"/>
      <c r="Y177" s="21"/>
    </row>
    <row r="178" spans="14:25" x14ac:dyDescent="0.2">
      <c r="N178" s="21"/>
      <c r="Q178" s="21"/>
      <c r="T178" s="21"/>
      <c r="V178" s="21"/>
      <c r="Y178" s="21"/>
    </row>
    <row r="179" spans="14:25" x14ac:dyDescent="0.2">
      <c r="N179" s="21"/>
      <c r="Q179" s="21"/>
      <c r="T179" s="21"/>
      <c r="V179" s="21"/>
      <c r="Y179" s="21"/>
    </row>
    <row r="180" spans="14:25" x14ac:dyDescent="0.2">
      <c r="N180" s="21"/>
      <c r="Q180" s="21"/>
      <c r="T180" s="21"/>
      <c r="V180" s="21"/>
      <c r="Y180" s="21"/>
    </row>
    <row r="181" spans="14:25" x14ac:dyDescent="0.2">
      <c r="N181" s="21"/>
      <c r="Q181" s="21"/>
      <c r="T181" s="21"/>
      <c r="V181" s="21"/>
      <c r="Y181" s="21"/>
    </row>
    <row r="182" spans="14:25" x14ac:dyDescent="0.2">
      <c r="N182" s="21"/>
      <c r="Q182" s="21"/>
      <c r="T182" s="21"/>
      <c r="V182" s="21"/>
      <c r="Y182" s="21"/>
    </row>
    <row r="183" spans="14:25" x14ac:dyDescent="0.2">
      <c r="N183" s="21"/>
      <c r="Q183" s="21"/>
      <c r="T183" s="21"/>
      <c r="V183" s="21"/>
      <c r="Y183" s="21"/>
    </row>
    <row r="184" spans="14:25" x14ac:dyDescent="0.2">
      <c r="N184" s="21"/>
      <c r="Q184" s="21"/>
      <c r="T184" s="21"/>
      <c r="V184" s="21"/>
      <c r="Y184" s="21"/>
    </row>
    <row r="185" spans="14:25" x14ac:dyDescent="0.2">
      <c r="N185" s="21"/>
      <c r="Q185" s="21"/>
      <c r="T185" s="21"/>
      <c r="V185" s="21"/>
      <c r="Y185" s="21"/>
    </row>
    <row r="186" spans="14:25" x14ac:dyDescent="0.2">
      <c r="N186" s="21"/>
      <c r="Q186" s="21"/>
      <c r="T186" s="21"/>
      <c r="V186" s="21"/>
      <c r="Y186" s="21"/>
    </row>
    <row r="187" spans="14:25" x14ac:dyDescent="0.2">
      <c r="N187" s="21"/>
      <c r="Q187" s="21"/>
      <c r="T187" s="21"/>
      <c r="V187" s="21"/>
      <c r="Y187" s="21"/>
    </row>
    <row r="188" spans="14:25" x14ac:dyDescent="0.2">
      <c r="N188" s="21"/>
      <c r="Q188" s="21"/>
      <c r="T188" s="21"/>
      <c r="V188" s="21"/>
      <c r="Y188" s="21"/>
    </row>
    <row r="189" spans="14:25" x14ac:dyDescent="0.2">
      <c r="N189" s="21"/>
      <c r="Q189" s="21"/>
      <c r="T189" s="21"/>
      <c r="V189" s="21"/>
      <c r="Y189" s="21"/>
    </row>
    <row r="190" spans="14:25" x14ac:dyDescent="0.2">
      <c r="N190" s="21"/>
      <c r="Q190" s="21"/>
      <c r="T190" s="21"/>
      <c r="V190" s="21"/>
      <c r="Y190" s="21"/>
    </row>
    <row r="191" spans="14:25" x14ac:dyDescent="0.2">
      <c r="N191" s="21"/>
      <c r="Q191" s="21"/>
      <c r="T191" s="21"/>
      <c r="V191" s="21"/>
      <c r="Y191" s="21"/>
    </row>
    <row r="192" spans="14:25" x14ac:dyDescent="0.2">
      <c r="N192" s="21"/>
      <c r="Q192" s="21"/>
      <c r="T192" s="21"/>
      <c r="V192" s="21"/>
      <c r="Y192" s="21"/>
    </row>
    <row r="193" spans="14:25" x14ac:dyDescent="0.2">
      <c r="N193" s="21"/>
      <c r="Q193" s="21"/>
      <c r="T193" s="21"/>
      <c r="V193" s="21"/>
      <c r="Y193" s="21"/>
    </row>
    <row r="194" spans="14:25" x14ac:dyDescent="0.2">
      <c r="N194" s="21"/>
      <c r="Q194" s="21"/>
      <c r="T194" s="21"/>
      <c r="V194" s="21"/>
      <c r="Y194" s="21"/>
    </row>
    <row r="195" spans="14:25" x14ac:dyDescent="0.2">
      <c r="N195" s="21"/>
      <c r="Q195" s="21"/>
      <c r="T195" s="21"/>
      <c r="V195" s="21"/>
      <c r="Y195" s="21"/>
    </row>
    <row r="196" spans="14:25" x14ac:dyDescent="0.2">
      <c r="N196" s="21"/>
      <c r="Q196" s="21"/>
      <c r="T196" s="21"/>
      <c r="V196" s="21"/>
      <c r="Y196" s="21"/>
    </row>
    <row r="197" spans="14:25" x14ac:dyDescent="0.2">
      <c r="N197" s="21"/>
      <c r="Q197" s="21"/>
      <c r="T197" s="21"/>
      <c r="V197" s="21"/>
      <c r="Y197" s="21"/>
    </row>
    <row r="198" spans="14:25" x14ac:dyDescent="0.2">
      <c r="N198" s="21"/>
      <c r="Q198" s="21"/>
      <c r="T198" s="21"/>
      <c r="V198" s="21"/>
      <c r="Y198" s="21"/>
    </row>
    <row r="199" spans="14:25" x14ac:dyDescent="0.2">
      <c r="N199" s="21"/>
      <c r="Q199" s="21"/>
      <c r="T199" s="21"/>
      <c r="V199" s="21"/>
      <c r="Y199" s="21"/>
    </row>
    <row r="200" spans="14:25" x14ac:dyDescent="0.2">
      <c r="N200" s="21"/>
      <c r="Q200" s="21"/>
      <c r="T200" s="21"/>
      <c r="V200" s="21"/>
      <c r="Y200" s="21"/>
    </row>
    <row r="201" spans="14:25" x14ac:dyDescent="0.2">
      <c r="N201" s="21"/>
      <c r="Q201" s="21"/>
      <c r="T201" s="21"/>
      <c r="V201" s="21"/>
      <c r="Y201" s="21"/>
    </row>
    <row r="202" spans="14:25" x14ac:dyDescent="0.2">
      <c r="N202" s="21"/>
      <c r="Q202" s="21"/>
      <c r="T202" s="21"/>
      <c r="V202" s="21"/>
      <c r="Y202" s="21"/>
    </row>
    <row r="203" spans="14:25" x14ac:dyDescent="0.2">
      <c r="N203" s="21"/>
      <c r="Q203" s="21"/>
      <c r="T203" s="21"/>
      <c r="V203" s="21"/>
      <c r="Y203" s="21"/>
    </row>
    <row r="204" spans="14:25" x14ac:dyDescent="0.2">
      <c r="N204" s="21"/>
      <c r="Q204" s="21"/>
      <c r="T204" s="21"/>
      <c r="V204" s="21"/>
      <c r="Y204" s="21"/>
    </row>
    <row r="205" spans="14:25" x14ac:dyDescent="0.2">
      <c r="N205" s="21"/>
      <c r="Q205" s="21"/>
      <c r="T205" s="21"/>
      <c r="V205" s="21"/>
      <c r="Y205" s="21"/>
    </row>
    <row r="206" spans="14:25" x14ac:dyDescent="0.2">
      <c r="N206" s="21"/>
      <c r="Q206" s="21"/>
      <c r="T206" s="21"/>
      <c r="V206" s="21"/>
      <c r="Y206" s="21"/>
    </row>
    <row r="207" spans="14:25" x14ac:dyDescent="0.2">
      <c r="N207" s="21"/>
      <c r="Q207" s="21"/>
      <c r="T207" s="21"/>
      <c r="V207" s="21"/>
      <c r="Y207" s="21"/>
    </row>
    <row r="208" spans="14:25" x14ac:dyDescent="0.2">
      <c r="N208" s="21"/>
      <c r="Q208" s="21"/>
      <c r="T208" s="21"/>
      <c r="V208" s="21"/>
      <c r="Y208" s="21"/>
    </row>
    <row r="209" spans="14:25" x14ac:dyDescent="0.2">
      <c r="N209" s="21"/>
      <c r="Q209" s="21"/>
      <c r="T209" s="21"/>
      <c r="V209" s="21"/>
      <c r="Y209" s="21"/>
    </row>
    <row r="210" spans="14:25" x14ac:dyDescent="0.2">
      <c r="N210" s="21"/>
      <c r="Q210" s="21"/>
      <c r="T210" s="21"/>
      <c r="V210" s="21"/>
      <c r="Y210" s="21"/>
    </row>
    <row r="211" spans="14:25" x14ac:dyDescent="0.2">
      <c r="N211" s="21"/>
      <c r="Q211" s="21"/>
      <c r="T211" s="21"/>
      <c r="V211" s="21"/>
      <c r="Y211" s="21"/>
    </row>
    <row r="212" spans="14:25" x14ac:dyDescent="0.2">
      <c r="N212" s="21"/>
      <c r="Q212" s="21"/>
      <c r="T212" s="21"/>
      <c r="V212" s="21"/>
      <c r="Y212" s="21"/>
    </row>
    <row r="213" spans="14:25" x14ac:dyDescent="0.2">
      <c r="N213" s="21"/>
      <c r="Q213" s="21"/>
      <c r="T213" s="21"/>
      <c r="V213" s="21"/>
      <c r="Y213" s="21"/>
    </row>
    <row r="214" spans="14:25" x14ac:dyDescent="0.2">
      <c r="N214" s="21"/>
      <c r="Q214" s="21"/>
      <c r="T214" s="21"/>
      <c r="V214" s="21"/>
      <c r="Y214" s="21"/>
    </row>
    <row r="215" spans="14:25" x14ac:dyDescent="0.2">
      <c r="N215" s="21"/>
      <c r="Q215" s="21"/>
      <c r="T215" s="21"/>
      <c r="V215" s="21"/>
      <c r="Y215" s="21"/>
    </row>
    <row r="216" spans="14:25" x14ac:dyDescent="0.2">
      <c r="N216" s="21"/>
      <c r="Q216" s="21"/>
      <c r="T216" s="21"/>
      <c r="V216" s="21"/>
      <c r="Y216" s="21"/>
    </row>
    <row r="217" spans="14:25" x14ac:dyDescent="0.2">
      <c r="N217" s="21"/>
      <c r="Q217" s="21"/>
      <c r="T217" s="21"/>
      <c r="V217" s="21"/>
      <c r="Y217" s="21"/>
    </row>
    <row r="218" spans="14:25" x14ac:dyDescent="0.2">
      <c r="N218" s="21"/>
      <c r="Q218" s="21"/>
      <c r="T218" s="21"/>
      <c r="V218" s="21"/>
      <c r="Y218" s="21"/>
    </row>
    <row r="219" spans="14:25" x14ac:dyDescent="0.2">
      <c r="N219" s="21"/>
      <c r="Q219" s="21"/>
      <c r="T219" s="21"/>
      <c r="V219" s="21"/>
      <c r="Y219" s="21"/>
    </row>
    <row r="220" spans="14:25" x14ac:dyDescent="0.2">
      <c r="N220" s="21"/>
      <c r="Q220" s="21"/>
      <c r="T220" s="21"/>
      <c r="V220" s="21"/>
      <c r="Y220" s="21"/>
    </row>
    <row r="221" spans="14:25" x14ac:dyDescent="0.2">
      <c r="N221" s="21"/>
      <c r="Q221" s="21"/>
      <c r="T221" s="21"/>
      <c r="V221" s="21"/>
      <c r="Y221" s="21"/>
    </row>
    <row r="222" spans="14:25" x14ac:dyDescent="0.2">
      <c r="N222" s="21"/>
      <c r="Q222" s="21"/>
      <c r="T222" s="21"/>
      <c r="V222" s="21"/>
      <c r="Y222" s="21"/>
    </row>
    <row r="223" spans="14:25" x14ac:dyDescent="0.2">
      <c r="N223" s="21"/>
      <c r="Q223" s="21"/>
      <c r="T223" s="21"/>
      <c r="V223" s="21"/>
      <c r="Y223" s="21"/>
    </row>
    <row r="224" spans="14:25" x14ac:dyDescent="0.2">
      <c r="N224" s="21"/>
      <c r="Q224" s="21"/>
      <c r="T224" s="21"/>
      <c r="V224" s="21"/>
      <c r="Y224" s="21"/>
    </row>
    <row r="225" spans="14:25" x14ac:dyDescent="0.2">
      <c r="N225" s="21"/>
      <c r="Q225" s="21"/>
      <c r="T225" s="21"/>
      <c r="V225" s="21"/>
      <c r="Y225" s="21"/>
    </row>
    <row r="226" spans="14:25" x14ac:dyDescent="0.2">
      <c r="N226" s="21"/>
      <c r="Q226" s="21"/>
      <c r="T226" s="21"/>
      <c r="V226" s="21"/>
      <c r="Y226" s="21"/>
    </row>
    <row r="227" spans="14:25" x14ac:dyDescent="0.2">
      <c r="N227" s="21"/>
      <c r="Q227" s="21"/>
      <c r="T227" s="21"/>
      <c r="V227" s="21"/>
      <c r="Y227" s="21"/>
    </row>
    <row r="228" spans="14:25" x14ac:dyDescent="0.2">
      <c r="N228" s="21"/>
      <c r="Q228" s="21"/>
      <c r="T228" s="21"/>
      <c r="V228" s="21"/>
      <c r="Y228" s="21"/>
    </row>
    <row r="229" spans="14:25" x14ac:dyDescent="0.2">
      <c r="N229" s="21"/>
      <c r="Q229" s="21"/>
      <c r="T229" s="21"/>
      <c r="V229" s="21"/>
      <c r="Y229" s="21"/>
    </row>
    <row r="230" spans="14:25" x14ac:dyDescent="0.2">
      <c r="N230" s="21"/>
      <c r="Q230" s="21"/>
      <c r="T230" s="21"/>
      <c r="V230" s="21"/>
      <c r="Y230" s="21"/>
    </row>
    <row r="231" spans="14:25" x14ac:dyDescent="0.2">
      <c r="N231" s="21"/>
      <c r="Q231" s="21"/>
      <c r="T231" s="21"/>
      <c r="V231" s="21"/>
      <c r="Y231" s="21"/>
    </row>
    <row r="232" spans="14:25" x14ac:dyDescent="0.2">
      <c r="N232" s="21"/>
      <c r="Q232" s="21"/>
      <c r="T232" s="21"/>
      <c r="V232" s="21"/>
      <c r="Y232" s="21"/>
    </row>
    <row r="233" spans="14:25" x14ac:dyDescent="0.2">
      <c r="N233" s="21"/>
      <c r="Q233" s="21"/>
      <c r="T233" s="21"/>
      <c r="V233" s="21"/>
      <c r="Y233" s="21"/>
    </row>
    <row r="234" spans="14:25" x14ac:dyDescent="0.2">
      <c r="N234" s="21"/>
      <c r="Q234" s="21"/>
      <c r="T234" s="21"/>
      <c r="V234" s="21"/>
      <c r="Y234" s="21"/>
    </row>
    <row r="235" spans="14:25" x14ac:dyDescent="0.2">
      <c r="N235" s="21"/>
      <c r="Q235" s="21"/>
      <c r="T235" s="21"/>
      <c r="V235" s="21"/>
      <c r="Y235" s="21"/>
    </row>
    <row r="236" spans="14:25" x14ac:dyDescent="0.2">
      <c r="N236" s="21"/>
      <c r="Q236" s="21"/>
      <c r="T236" s="21"/>
      <c r="V236" s="21"/>
      <c r="Y236" s="21"/>
    </row>
    <row r="237" spans="14:25" x14ac:dyDescent="0.2">
      <c r="N237" s="21"/>
      <c r="Q237" s="21"/>
      <c r="T237" s="21"/>
      <c r="V237" s="21"/>
      <c r="Y237" s="21"/>
    </row>
    <row r="238" spans="14:25" x14ac:dyDescent="0.2">
      <c r="N238" s="21"/>
      <c r="Q238" s="21"/>
      <c r="T238" s="21"/>
      <c r="V238" s="21"/>
      <c r="Y238" s="21"/>
    </row>
    <row r="239" spans="14:25" x14ac:dyDescent="0.2">
      <c r="N239" s="21"/>
      <c r="Q239" s="21"/>
      <c r="T239" s="21"/>
      <c r="V239" s="21"/>
      <c r="Y239" s="21"/>
    </row>
    <row r="240" spans="14:25" x14ac:dyDescent="0.2">
      <c r="N240" s="21"/>
      <c r="Q240" s="21"/>
      <c r="T240" s="21"/>
      <c r="V240" s="21"/>
      <c r="Y240" s="21"/>
    </row>
    <row r="241" spans="14:25" x14ac:dyDescent="0.2">
      <c r="N241" s="21"/>
      <c r="Q241" s="21"/>
      <c r="T241" s="21"/>
      <c r="V241" s="21"/>
      <c r="Y241" s="21"/>
    </row>
    <row r="242" spans="14:25" x14ac:dyDescent="0.2">
      <c r="N242" s="21"/>
      <c r="Q242" s="21"/>
      <c r="T242" s="21"/>
      <c r="V242" s="21"/>
      <c r="Y242" s="21"/>
    </row>
    <row r="243" spans="14:25" x14ac:dyDescent="0.2">
      <c r="N243" s="21"/>
      <c r="Q243" s="21"/>
      <c r="T243" s="21"/>
      <c r="V243" s="21"/>
      <c r="Y243" s="21"/>
    </row>
    <row r="244" spans="14:25" x14ac:dyDescent="0.2">
      <c r="N244" s="21"/>
      <c r="Q244" s="21"/>
      <c r="T244" s="21"/>
      <c r="V244" s="21"/>
      <c r="Y244" s="21"/>
    </row>
    <row r="245" spans="14:25" x14ac:dyDescent="0.2">
      <c r="N245" s="21"/>
      <c r="Q245" s="21"/>
      <c r="T245" s="21"/>
      <c r="V245" s="21"/>
      <c r="Y245" s="21"/>
    </row>
    <row r="246" spans="14:25" x14ac:dyDescent="0.2">
      <c r="N246" s="21"/>
      <c r="Q246" s="21"/>
      <c r="T246" s="21"/>
      <c r="V246" s="21"/>
      <c r="Y246" s="21"/>
    </row>
    <row r="247" spans="14:25" x14ac:dyDescent="0.2">
      <c r="N247" s="21"/>
      <c r="Q247" s="21"/>
      <c r="T247" s="21"/>
      <c r="V247" s="21"/>
      <c r="Y247" s="21"/>
    </row>
    <row r="248" spans="14:25" x14ac:dyDescent="0.2">
      <c r="N248" s="21"/>
      <c r="Q248" s="21"/>
      <c r="T248" s="21"/>
      <c r="V248" s="21"/>
      <c r="Y248" s="21"/>
    </row>
    <row r="249" spans="14:25" x14ac:dyDescent="0.2">
      <c r="N249" s="21"/>
      <c r="Q249" s="21"/>
      <c r="T249" s="21"/>
      <c r="V249" s="21"/>
      <c r="Y249" s="21"/>
    </row>
    <row r="250" spans="14:25" x14ac:dyDescent="0.2">
      <c r="N250" s="21"/>
      <c r="Q250" s="21"/>
      <c r="T250" s="21"/>
      <c r="V250" s="21"/>
      <c r="Y250" s="21"/>
    </row>
    <row r="251" spans="14:25" x14ac:dyDescent="0.2">
      <c r="N251" s="21"/>
      <c r="Q251" s="21"/>
      <c r="T251" s="21"/>
      <c r="V251" s="21"/>
      <c r="Y251" s="21"/>
    </row>
    <row r="252" spans="14:25" x14ac:dyDescent="0.2">
      <c r="N252" s="21"/>
      <c r="Q252" s="21"/>
      <c r="T252" s="21"/>
      <c r="V252" s="21"/>
      <c r="Y252" s="21"/>
    </row>
    <row r="253" spans="14:25" x14ac:dyDescent="0.2">
      <c r="N253" s="21"/>
      <c r="Q253" s="21"/>
      <c r="T253" s="21"/>
      <c r="V253" s="21"/>
      <c r="Y253" s="21"/>
    </row>
    <row r="254" spans="14:25" x14ac:dyDescent="0.2">
      <c r="N254" s="21"/>
      <c r="Q254" s="21"/>
      <c r="T254" s="21"/>
      <c r="V254" s="21"/>
      <c r="Y254" s="21"/>
    </row>
    <row r="255" spans="14:25" x14ac:dyDescent="0.2">
      <c r="N255" s="21"/>
      <c r="Q255" s="21"/>
      <c r="T255" s="21"/>
      <c r="V255" s="21"/>
      <c r="Y255" s="21"/>
    </row>
    <row r="256" spans="14:25" x14ac:dyDescent="0.2">
      <c r="N256" s="21"/>
      <c r="Q256" s="21"/>
      <c r="T256" s="21"/>
      <c r="V256" s="21"/>
      <c r="Y256" s="21"/>
    </row>
    <row r="257" spans="14:25" x14ac:dyDescent="0.2">
      <c r="N257" s="21"/>
      <c r="Q257" s="21"/>
      <c r="T257" s="21"/>
      <c r="V257" s="21"/>
      <c r="Y257" s="21"/>
    </row>
    <row r="258" spans="14:25" x14ac:dyDescent="0.2">
      <c r="N258" s="21"/>
      <c r="Q258" s="21"/>
      <c r="T258" s="21"/>
      <c r="V258" s="21"/>
      <c r="Y258" s="21"/>
    </row>
    <row r="259" spans="14:25" x14ac:dyDescent="0.2">
      <c r="N259" s="21"/>
      <c r="Q259" s="21"/>
      <c r="T259" s="21"/>
      <c r="V259" s="21"/>
      <c r="Y259" s="21"/>
    </row>
    <row r="260" spans="14:25" x14ac:dyDescent="0.2">
      <c r="N260" s="21"/>
      <c r="Q260" s="21"/>
      <c r="T260" s="21"/>
      <c r="V260" s="21"/>
      <c r="Y260" s="21"/>
    </row>
    <row r="261" spans="14:25" x14ac:dyDescent="0.2">
      <c r="N261" s="21"/>
      <c r="Q261" s="21"/>
      <c r="T261" s="21"/>
      <c r="V261" s="21"/>
      <c r="Y261" s="21"/>
    </row>
    <row r="262" spans="14:25" x14ac:dyDescent="0.2">
      <c r="N262" s="21"/>
      <c r="Q262" s="21"/>
      <c r="T262" s="21"/>
      <c r="V262" s="21"/>
      <c r="Y262" s="21"/>
    </row>
    <row r="263" spans="14:25" x14ac:dyDescent="0.2">
      <c r="N263" s="21"/>
      <c r="Q263" s="21"/>
      <c r="T263" s="21"/>
      <c r="V263" s="21"/>
      <c r="Y263" s="21"/>
    </row>
    <row r="264" spans="14:25" x14ac:dyDescent="0.2">
      <c r="N264" s="21"/>
      <c r="Q264" s="21"/>
      <c r="T264" s="21"/>
      <c r="V264" s="21"/>
      <c r="Y264" s="21"/>
    </row>
    <row r="265" spans="14:25" x14ac:dyDescent="0.2">
      <c r="N265" s="21"/>
      <c r="Q265" s="21"/>
      <c r="T265" s="21"/>
      <c r="V265" s="21"/>
      <c r="Y265" s="21"/>
    </row>
    <row r="266" spans="14:25" x14ac:dyDescent="0.2">
      <c r="N266" s="21"/>
      <c r="Q266" s="21"/>
      <c r="T266" s="21"/>
      <c r="V266" s="21"/>
      <c r="Y266" s="21"/>
    </row>
    <row r="267" spans="14:25" x14ac:dyDescent="0.2">
      <c r="N267" s="21"/>
      <c r="Q267" s="21"/>
      <c r="T267" s="21"/>
      <c r="V267" s="21"/>
      <c r="Y267" s="21"/>
    </row>
    <row r="268" spans="14:25" x14ac:dyDescent="0.2">
      <c r="N268" s="21"/>
      <c r="Q268" s="21"/>
      <c r="T268" s="21"/>
      <c r="V268" s="21"/>
      <c r="Y268" s="21"/>
    </row>
    <row r="269" spans="14:25" x14ac:dyDescent="0.2">
      <c r="N269" s="21"/>
      <c r="Q269" s="21"/>
      <c r="T269" s="21"/>
      <c r="V269" s="21"/>
      <c r="Y269" s="21"/>
    </row>
    <row r="270" spans="14:25" x14ac:dyDescent="0.2">
      <c r="N270" s="21"/>
      <c r="Q270" s="21"/>
      <c r="T270" s="21"/>
      <c r="V270" s="21"/>
      <c r="Y270" s="21"/>
    </row>
    <row r="271" spans="14:25" x14ac:dyDescent="0.2">
      <c r="N271" s="21"/>
      <c r="Q271" s="21"/>
      <c r="T271" s="21"/>
      <c r="V271" s="21"/>
      <c r="Y271" s="21"/>
    </row>
    <row r="272" spans="14:25" x14ac:dyDescent="0.2">
      <c r="N272" s="21"/>
      <c r="Q272" s="21"/>
      <c r="T272" s="21"/>
      <c r="V272" s="21"/>
      <c r="Y272" s="21"/>
    </row>
    <row r="273" spans="14:25" x14ac:dyDescent="0.2">
      <c r="N273" s="21"/>
      <c r="Q273" s="21"/>
      <c r="T273" s="21"/>
      <c r="V273" s="21"/>
      <c r="Y273" s="21"/>
    </row>
    <row r="274" spans="14:25" x14ac:dyDescent="0.2">
      <c r="N274" s="21"/>
      <c r="Q274" s="21"/>
      <c r="T274" s="21"/>
      <c r="V274" s="21"/>
      <c r="Y274" s="21"/>
    </row>
    <row r="275" spans="14:25" x14ac:dyDescent="0.2">
      <c r="N275" s="21"/>
      <c r="Q275" s="21"/>
      <c r="T275" s="21"/>
      <c r="V275" s="21"/>
      <c r="Y275" s="21"/>
    </row>
    <row r="276" spans="14:25" x14ac:dyDescent="0.2">
      <c r="N276" s="21"/>
      <c r="Q276" s="21"/>
      <c r="T276" s="21"/>
      <c r="V276" s="21"/>
      <c r="Y276" s="21"/>
    </row>
    <row r="277" spans="14:25" x14ac:dyDescent="0.2">
      <c r="N277" s="21"/>
      <c r="Q277" s="21"/>
      <c r="T277" s="21"/>
      <c r="V277" s="21"/>
      <c r="Y277" s="21"/>
    </row>
    <row r="278" spans="14:25" x14ac:dyDescent="0.2">
      <c r="N278" s="21"/>
      <c r="Q278" s="21"/>
      <c r="T278" s="21"/>
      <c r="V278" s="21"/>
      <c r="Y278" s="21"/>
    </row>
    <row r="279" spans="14:25" x14ac:dyDescent="0.2">
      <c r="N279" s="21"/>
      <c r="Q279" s="21"/>
      <c r="T279" s="21"/>
      <c r="V279" s="21"/>
      <c r="Y279" s="21"/>
    </row>
    <row r="280" spans="14:25" x14ac:dyDescent="0.2">
      <c r="N280" s="21"/>
      <c r="Q280" s="21"/>
      <c r="T280" s="21"/>
      <c r="V280" s="21"/>
      <c r="Y280" s="21"/>
    </row>
    <row r="281" spans="14:25" x14ac:dyDescent="0.2">
      <c r="N281" s="21"/>
      <c r="Q281" s="21"/>
      <c r="T281" s="21"/>
      <c r="V281" s="21"/>
      <c r="Y281" s="21"/>
    </row>
    <row r="282" spans="14:25" x14ac:dyDescent="0.2">
      <c r="N282" s="21"/>
      <c r="Q282" s="21"/>
      <c r="T282" s="21"/>
      <c r="V282" s="21"/>
      <c r="Y282" s="21"/>
    </row>
    <row r="283" spans="14:25" x14ac:dyDescent="0.2">
      <c r="N283" s="21"/>
      <c r="Q283" s="21"/>
      <c r="T283" s="21"/>
      <c r="V283" s="21"/>
      <c r="Y283" s="21"/>
    </row>
    <row r="284" spans="14:25" x14ac:dyDescent="0.2">
      <c r="N284" s="21"/>
      <c r="Q284" s="21"/>
      <c r="T284" s="21"/>
      <c r="V284" s="21"/>
      <c r="Y284" s="21"/>
    </row>
    <row r="285" spans="14:25" x14ac:dyDescent="0.2">
      <c r="N285" s="21"/>
      <c r="Q285" s="21"/>
      <c r="T285" s="21"/>
      <c r="V285" s="21"/>
      <c r="Y285" s="21"/>
    </row>
    <row r="286" spans="14:25" x14ac:dyDescent="0.2">
      <c r="N286" s="21"/>
      <c r="Q286" s="21"/>
      <c r="T286" s="21"/>
      <c r="V286" s="21"/>
      <c r="Y286" s="21"/>
    </row>
    <row r="287" spans="14:25" x14ac:dyDescent="0.2">
      <c r="N287" s="21"/>
      <c r="Q287" s="21"/>
      <c r="T287" s="21"/>
      <c r="V287" s="21"/>
      <c r="Y287" s="21"/>
    </row>
    <row r="288" spans="14:25" x14ac:dyDescent="0.2">
      <c r="N288" s="21"/>
      <c r="Q288" s="21"/>
      <c r="T288" s="21"/>
      <c r="V288" s="21"/>
      <c r="Y288" s="21"/>
    </row>
    <row r="289" spans="14:25" x14ac:dyDescent="0.2">
      <c r="N289" s="21"/>
      <c r="Q289" s="21"/>
      <c r="T289" s="21"/>
      <c r="V289" s="21"/>
      <c r="Y289" s="21"/>
    </row>
    <row r="290" spans="14:25" x14ac:dyDescent="0.2">
      <c r="N290" s="21"/>
      <c r="Q290" s="21"/>
      <c r="T290" s="21"/>
      <c r="V290" s="21"/>
      <c r="Y290" s="21"/>
    </row>
    <row r="291" spans="14:25" x14ac:dyDescent="0.2">
      <c r="N291" s="21"/>
      <c r="Q291" s="21"/>
      <c r="T291" s="21"/>
      <c r="V291" s="21"/>
      <c r="Y291" s="21"/>
    </row>
    <row r="292" spans="14:25" x14ac:dyDescent="0.2">
      <c r="N292" s="21"/>
      <c r="Q292" s="21"/>
      <c r="T292" s="21"/>
      <c r="V292" s="21"/>
      <c r="Y292" s="21"/>
    </row>
    <row r="293" spans="14:25" x14ac:dyDescent="0.2">
      <c r="N293" s="21"/>
      <c r="Q293" s="21"/>
      <c r="T293" s="21"/>
      <c r="V293" s="21"/>
      <c r="Y293" s="21"/>
    </row>
    <row r="294" spans="14:25" x14ac:dyDescent="0.2">
      <c r="N294" s="21"/>
      <c r="Q294" s="21"/>
      <c r="T294" s="21"/>
      <c r="V294" s="21"/>
      <c r="Y294" s="21"/>
    </row>
    <row r="295" spans="14:25" x14ac:dyDescent="0.2">
      <c r="N295" s="21"/>
      <c r="Q295" s="21"/>
      <c r="T295" s="21"/>
      <c r="V295" s="21"/>
      <c r="Y295" s="21"/>
    </row>
    <row r="296" spans="14:25" x14ac:dyDescent="0.2">
      <c r="N296" s="21"/>
      <c r="Q296" s="21"/>
      <c r="T296" s="21"/>
      <c r="V296" s="21"/>
      <c r="Y296" s="21"/>
    </row>
    <row r="297" spans="14:25" x14ac:dyDescent="0.2">
      <c r="N297" s="21"/>
      <c r="Q297" s="21"/>
      <c r="T297" s="21"/>
      <c r="V297" s="21"/>
      <c r="Y297" s="21"/>
    </row>
    <row r="298" spans="14:25" x14ac:dyDescent="0.2">
      <c r="N298" s="21"/>
      <c r="Q298" s="21"/>
      <c r="T298" s="21"/>
      <c r="V298" s="21"/>
      <c r="Y298" s="21"/>
    </row>
    <row r="299" spans="14:25" x14ac:dyDescent="0.2">
      <c r="N299" s="21"/>
      <c r="Q299" s="21"/>
      <c r="T299" s="21"/>
      <c r="V299" s="21"/>
      <c r="Y299" s="21"/>
    </row>
    <row r="300" spans="14:25" x14ac:dyDescent="0.2">
      <c r="N300" s="21"/>
      <c r="Q300" s="21"/>
      <c r="T300" s="21"/>
      <c r="V300" s="21"/>
      <c r="Y300" s="21"/>
    </row>
    <row r="301" spans="14:25" x14ac:dyDescent="0.2">
      <c r="N301" s="21"/>
      <c r="Q301" s="21"/>
      <c r="T301" s="21"/>
      <c r="V301" s="21"/>
      <c r="Y301" s="21"/>
    </row>
    <row r="302" spans="14:25" x14ac:dyDescent="0.2">
      <c r="N302" s="21"/>
      <c r="Q302" s="21"/>
      <c r="T302" s="21"/>
      <c r="V302" s="21"/>
      <c r="Y302" s="21"/>
    </row>
    <row r="303" spans="14:25" x14ac:dyDescent="0.2">
      <c r="N303" s="21"/>
      <c r="Q303" s="21"/>
      <c r="T303" s="21"/>
      <c r="V303" s="21"/>
      <c r="Y303" s="21"/>
    </row>
    <row r="304" spans="14:25" x14ac:dyDescent="0.2">
      <c r="N304" s="21"/>
      <c r="Q304" s="21"/>
      <c r="T304" s="21"/>
      <c r="V304" s="21"/>
      <c r="Y304" s="21"/>
    </row>
    <row r="305" spans="14:25" x14ac:dyDescent="0.2">
      <c r="N305" s="21"/>
      <c r="Q305" s="21"/>
      <c r="T305" s="21"/>
      <c r="V305" s="21"/>
      <c r="Y305" s="21"/>
    </row>
    <row r="306" spans="14:25" x14ac:dyDescent="0.2">
      <c r="N306" s="21"/>
      <c r="Q306" s="21"/>
      <c r="T306" s="21"/>
      <c r="V306" s="21"/>
      <c r="Y306" s="21"/>
    </row>
    <row r="307" spans="14:25" x14ac:dyDescent="0.2">
      <c r="N307" s="21"/>
      <c r="Q307" s="21"/>
      <c r="T307" s="21"/>
      <c r="V307" s="21"/>
      <c r="Y307" s="21"/>
    </row>
    <row r="308" spans="14:25" x14ac:dyDescent="0.2">
      <c r="N308" s="21"/>
      <c r="Q308" s="21"/>
      <c r="T308" s="21"/>
      <c r="V308" s="21"/>
      <c r="Y308" s="21"/>
    </row>
    <row r="309" spans="14:25" x14ac:dyDescent="0.2">
      <c r="N309" s="21"/>
      <c r="Q309" s="21"/>
      <c r="T309" s="21"/>
      <c r="V309" s="21"/>
      <c r="Y309" s="21"/>
    </row>
    <row r="310" spans="14:25" x14ac:dyDescent="0.2">
      <c r="N310" s="21"/>
      <c r="Q310" s="21"/>
      <c r="T310" s="21"/>
      <c r="V310" s="21"/>
      <c r="Y310" s="21"/>
    </row>
    <row r="311" spans="14:25" x14ac:dyDescent="0.2">
      <c r="N311" s="21"/>
      <c r="Q311" s="21"/>
      <c r="T311" s="21"/>
      <c r="V311" s="21"/>
      <c r="Y311" s="21"/>
    </row>
    <row r="312" spans="14:25" x14ac:dyDescent="0.2">
      <c r="N312" s="21"/>
      <c r="Q312" s="21"/>
      <c r="T312" s="21"/>
      <c r="V312" s="21"/>
      <c r="Y312" s="21"/>
    </row>
    <row r="313" spans="14:25" x14ac:dyDescent="0.2">
      <c r="N313" s="21"/>
      <c r="Q313" s="21"/>
      <c r="T313" s="21"/>
      <c r="V313" s="21"/>
      <c r="Y313" s="21"/>
    </row>
    <row r="314" spans="14:25" x14ac:dyDescent="0.2">
      <c r="N314" s="21"/>
      <c r="Q314" s="21"/>
      <c r="T314" s="21"/>
      <c r="V314" s="21"/>
      <c r="Y314" s="21"/>
    </row>
    <row r="315" spans="14:25" x14ac:dyDescent="0.2">
      <c r="N315" s="21"/>
      <c r="Q315" s="21"/>
      <c r="T315" s="21"/>
      <c r="V315" s="21"/>
      <c r="Y315" s="21"/>
    </row>
    <row r="316" spans="14:25" x14ac:dyDescent="0.2">
      <c r="N316" s="21"/>
      <c r="Q316" s="21"/>
      <c r="T316" s="21"/>
      <c r="V316" s="21"/>
      <c r="Y316" s="21"/>
    </row>
    <row r="317" spans="14:25" x14ac:dyDescent="0.2">
      <c r="N317" s="21"/>
      <c r="Q317" s="21"/>
      <c r="T317" s="21"/>
      <c r="V317" s="21"/>
      <c r="Y317" s="21"/>
    </row>
    <row r="318" spans="14:25" x14ac:dyDescent="0.2">
      <c r="N318" s="21"/>
      <c r="Q318" s="21"/>
      <c r="T318" s="21"/>
      <c r="V318" s="21"/>
      <c r="Y318" s="21"/>
    </row>
    <row r="319" spans="14:25" x14ac:dyDescent="0.2">
      <c r="N319" s="21"/>
      <c r="Q319" s="21"/>
      <c r="T319" s="21"/>
      <c r="V319" s="21"/>
      <c r="Y319" s="21"/>
    </row>
    <row r="320" spans="14:25" x14ac:dyDescent="0.2">
      <c r="N320" s="21"/>
      <c r="Q320" s="21"/>
      <c r="T320" s="21"/>
      <c r="V320" s="21"/>
      <c r="Y320" s="21"/>
    </row>
    <row r="321" spans="14:25" x14ac:dyDescent="0.2">
      <c r="N321" s="21"/>
      <c r="Q321" s="21"/>
      <c r="T321" s="21"/>
      <c r="V321" s="21"/>
      <c r="Y321" s="21"/>
    </row>
    <row r="322" spans="14:25" x14ac:dyDescent="0.2">
      <c r="N322" s="21"/>
      <c r="Q322" s="21"/>
      <c r="T322" s="21"/>
      <c r="V322" s="21"/>
      <c r="Y322" s="21"/>
    </row>
    <row r="323" spans="14:25" x14ac:dyDescent="0.2">
      <c r="N323" s="21"/>
      <c r="Q323" s="21"/>
      <c r="T323" s="21"/>
      <c r="V323" s="21"/>
      <c r="Y323" s="21"/>
    </row>
    <row r="324" spans="14:25" x14ac:dyDescent="0.2">
      <c r="N324" s="21"/>
      <c r="Q324" s="21"/>
      <c r="T324" s="21"/>
      <c r="V324" s="21"/>
      <c r="Y324" s="21"/>
    </row>
    <row r="325" spans="14:25" x14ac:dyDescent="0.2">
      <c r="N325" s="21"/>
      <c r="Q325" s="21"/>
      <c r="T325" s="21"/>
      <c r="V325" s="21"/>
      <c r="Y325" s="21"/>
    </row>
    <row r="326" spans="14:25" x14ac:dyDescent="0.2">
      <c r="N326" s="21"/>
      <c r="Q326" s="21"/>
      <c r="T326" s="21"/>
      <c r="V326" s="21"/>
      <c r="Y326" s="21"/>
    </row>
    <row r="327" spans="14:25" x14ac:dyDescent="0.2">
      <c r="N327" s="21"/>
      <c r="Q327" s="21"/>
      <c r="T327" s="21"/>
      <c r="V327" s="21"/>
      <c r="Y327" s="21"/>
    </row>
    <row r="328" spans="14:25" x14ac:dyDescent="0.2">
      <c r="N328" s="21"/>
      <c r="Q328" s="21"/>
      <c r="T328" s="21"/>
      <c r="V328" s="21"/>
      <c r="Y328" s="21"/>
    </row>
    <row r="329" spans="14:25" x14ac:dyDescent="0.2">
      <c r="N329" s="21"/>
      <c r="Q329" s="21"/>
      <c r="T329" s="21"/>
      <c r="V329" s="21"/>
      <c r="Y329" s="21"/>
    </row>
    <row r="330" spans="14:25" x14ac:dyDescent="0.2">
      <c r="N330" s="21"/>
      <c r="Q330" s="21"/>
      <c r="T330" s="21"/>
      <c r="V330" s="21"/>
      <c r="Y330" s="21"/>
    </row>
    <row r="331" spans="14:25" x14ac:dyDescent="0.2">
      <c r="N331" s="21"/>
      <c r="Q331" s="21"/>
      <c r="T331" s="21"/>
      <c r="V331" s="21"/>
      <c r="Y331" s="21"/>
    </row>
    <row r="332" spans="14:25" x14ac:dyDescent="0.2">
      <c r="N332" s="21"/>
      <c r="Q332" s="21"/>
      <c r="T332" s="21"/>
      <c r="V332" s="21"/>
      <c r="Y332" s="21"/>
    </row>
    <row r="333" spans="14:25" x14ac:dyDescent="0.2">
      <c r="N333" s="21"/>
      <c r="Q333" s="21"/>
      <c r="T333" s="21"/>
      <c r="V333" s="21"/>
      <c r="Y333" s="21"/>
    </row>
    <row r="334" spans="14:25" x14ac:dyDescent="0.2">
      <c r="N334" s="21"/>
      <c r="Q334" s="21"/>
      <c r="T334" s="21"/>
      <c r="V334" s="21"/>
      <c r="Y334" s="21"/>
    </row>
    <row r="335" spans="14:25" x14ac:dyDescent="0.2">
      <c r="N335" s="21"/>
      <c r="Q335" s="21"/>
      <c r="T335" s="21"/>
      <c r="V335" s="21"/>
      <c r="Y335" s="21"/>
    </row>
    <row r="336" spans="14:25" x14ac:dyDescent="0.2">
      <c r="N336" s="21"/>
      <c r="Q336" s="21"/>
      <c r="T336" s="21"/>
      <c r="V336" s="21"/>
      <c r="Y336" s="21"/>
    </row>
    <row r="337" spans="14:25" x14ac:dyDescent="0.2">
      <c r="N337" s="21"/>
      <c r="Q337" s="21"/>
      <c r="T337" s="21"/>
      <c r="V337" s="21"/>
      <c r="Y337" s="21"/>
    </row>
    <row r="338" spans="14:25" x14ac:dyDescent="0.2">
      <c r="N338" s="21"/>
      <c r="Q338" s="21"/>
      <c r="T338" s="21"/>
      <c r="V338" s="21"/>
      <c r="Y338" s="21"/>
    </row>
    <row r="339" spans="14:25" x14ac:dyDescent="0.2">
      <c r="N339" s="21"/>
      <c r="Q339" s="21"/>
      <c r="T339" s="21"/>
      <c r="V339" s="21"/>
      <c r="Y339" s="21"/>
    </row>
    <row r="340" spans="14:25" x14ac:dyDescent="0.2">
      <c r="N340" s="21"/>
      <c r="Q340" s="21"/>
      <c r="T340" s="21"/>
      <c r="V340" s="21"/>
      <c r="Y340" s="21"/>
    </row>
    <row r="341" spans="14:25" x14ac:dyDescent="0.2">
      <c r="N341" s="21"/>
      <c r="Q341" s="21"/>
      <c r="T341" s="21"/>
      <c r="V341" s="21"/>
      <c r="Y341" s="21"/>
    </row>
    <row r="342" spans="14:25" x14ac:dyDescent="0.2">
      <c r="N342" s="21"/>
      <c r="Q342" s="21"/>
      <c r="T342" s="21"/>
      <c r="V342" s="21"/>
      <c r="Y342" s="21"/>
    </row>
    <row r="343" spans="14:25" x14ac:dyDescent="0.2">
      <c r="N343" s="21"/>
      <c r="Q343" s="21"/>
      <c r="T343" s="21"/>
      <c r="V343" s="21"/>
      <c r="Y343" s="21"/>
    </row>
    <row r="344" spans="14:25" x14ac:dyDescent="0.2">
      <c r="N344" s="21"/>
      <c r="Q344" s="21"/>
      <c r="T344" s="21"/>
      <c r="V344" s="21"/>
      <c r="Y344" s="21"/>
    </row>
    <row r="345" spans="14:25" x14ac:dyDescent="0.2">
      <c r="N345" s="21"/>
      <c r="Q345" s="21"/>
      <c r="T345" s="21"/>
      <c r="V345" s="21"/>
      <c r="Y345" s="21"/>
    </row>
    <row r="346" spans="14:25" x14ac:dyDescent="0.2">
      <c r="N346" s="21"/>
      <c r="Q346" s="21"/>
      <c r="T346" s="21"/>
      <c r="V346" s="21"/>
      <c r="Y346" s="21"/>
    </row>
    <row r="347" spans="14:25" x14ac:dyDescent="0.2">
      <c r="N347" s="21"/>
      <c r="Q347" s="21"/>
      <c r="T347" s="21"/>
      <c r="V347" s="21"/>
      <c r="Y347" s="21"/>
    </row>
    <row r="348" spans="14:25" x14ac:dyDescent="0.2">
      <c r="N348" s="21"/>
      <c r="Q348" s="21"/>
      <c r="T348" s="21"/>
      <c r="V348" s="21"/>
      <c r="Y348" s="21"/>
    </row>
    <row r="349" spans="14:25" x14ac:dyDescent="0.2">
      <c r="N349" s="21"/>
      <c r="Q349" s="21"/>
      <c r="T349" s="21"/>
      <c r="V349" s="21"/>
      <c r="Y349" s="21"/>
    </row>
    <row r="350" spans="14:25" x14ac:dyDescent="0.2">
      <c r="N350" s="21"/>
      <c r="Q350" s="21"/>
      <c r="T350" s="21"/>
      <c r="V350" s="21"/>
      <c r="Y350" s="21"/>
    </row>
    <row r="351" spans="14:25" x14ac:dyDescent="0.2">
      <c r="N351" s="21"/>
      <c r="Q351" s="21"/>
      <c r="T351" s="21"/>
      <c r="V351" s="21"/>
      <c r="Y351" s="21"/>
    </row>
    <row r="352" spans="14:25" x14ac:dyDescent="0.2">
      <c r="N352" s="21"/>
      <c r="Q352" s="21"/>
      <c r="T352" s="21"/>
      <c r="V352" s="21"/>
      <c r="Y352" s="21"/>
    </row>
    <row r="353" spans="14:25" x14ac:dyDescent="0.2">
      <c r="N353" s="21"/>
      <c r="Q353" s="21"/>
      <c r="T353" s="21"/>
      <c r="V353" s="21"/>
      <c r="Y353" s="21"/>
    </row>
    <row r="354" spans="14:25" x14ac:dyDescent="0.2">
      <c r="N354" s="21"/>
      <c r="Q354" s="21"/>
      <c r="T354" s="21"/>
      <c r="V354" s="21"/>
      <c r="Y354" s="21"/>
    </row>
    <row r="355" spans="14:25" x14ac:dyDescent="0.2">
      <c r="N355" s="21"/>
      <c r="Q355" s="21"/>
      <c r="T355" s="21"/>
      <c r="V355" s="21"/>
      <c r="Y355" s="21"/>
    </row>
    <row r="356" spans="14:25" x14ac:dyDescent="0.2">
      <c r="N356" s="21"/>
      <c r="Q356" s="21"/>
      <c r="T356" s="21"/>
      <c r="V356" s="21"/>
      <c r="Y356" s="21"/>
    </row>
    <row r="357" spans="14:25" x14ac:dyDescent="0.2">
      <c r="N357" s="21"/>
      <c r="Q357" s="21"/>
      <c r="T357" s="21"/>
      <c r="V357" s="21"/>
      <c r="Y357" s="21"/>
    </row>
    <row r="358" spans="14:25" x14ac:dyDescent="0.2">
      <c r="N358" s="21"/>
      <c r="Q358" s="21"/>
      <c r="T358" s="21"/>
      <c r="V358" s="21"/>
      <c r="Y358" s="21"/>
    </row>
    <row r="359" spans="14:25" x14ac:dyDescent="0.2">
      <c r="N359" s="21"/>
      <c r="Q359" s="21"/>
      <c r="T359" s="21"/>
      <c r="V359" s="21"/>
      <c r="Y359" s="21"/>
    </row>
    <row r="360" spans="14:25" x14ac:dyDescent="0.2">
      <c r="N360" s="21"/>
      <c r="Q360" s="21"/>
      <c r="T360" s="21"/>
      <c r="V360" s="21"/>
      <c r="Y360" s="21"/>
    </row>
    <row r="361" spans="14:25" x14ac:dyDescent="0.2">
      <c r="N361" s="21"/>
      <c r="Q361" s="21"/>
      <c r="T361" s="21"/>
      <c r="V361" s="21"/>
      <c r="Y361" s="21"/>
    </row>
    <row r="362" spans="14:25" x14ac:dyDescent="0.2">
      <c r="N362" s="21"/>
      <c r="Q362" s="21"/>
      <c r="T362" s="21"/>
      <c r="V362" s="21"/>
      <c r="Y362" s="21"/>
    </row>
    <row r="363" spans="14:25" x14ac:dyDescent="0.2">
      <c r="N363" s="21"/>
      <c r="Q363" s="21"/>
      <c r="T363" s="21"/>
      <c r="V363" s="21"/>
      <c r="Y363" s="21"/>
    </row>
    <row r="364" spans="14:25" x14ac:dyDescent="0.2">
      <c r="N364" s="21"/>
      <c r="Q364" s="21"/>
      <c r="T364" s="21"/>
      <c r="V364" s="21"/>
      <c r="Y364" s="21"/>
    </row>
    <row r="365" spans="14:25" x14ac:dyDescent="0.2">
      <c r="N365" s="21"/>
      <c r="Q365" s="21"/>
      <c r="T365" s="21"/>
      <c r="V365" s="21"/>
      <c r="Y365" s="21"/>
    </row>
    <row r="366" spans="14:25" x14ac:dyDescent="0.2">
      <c r="N366" s="21"/>
      <c r="Q366" s="21"/>
      <c r="T366" s="21"/>
      <c r="V366" s="21"/>
      <c r="Y366" s="21"/>
    </row>
    <row r="367" spans="14:25" x14ac:dyDescent="0.2">
      <c r="N367" s="21"/>
      <c r="Q367" s="21"/>
      <c r="T367" s="21"/>
      <c r="V367" s="21"/>
      <c r="Y367" s="21"/>
    </row>
    <row r="368" spans="14:25" x14ac:dyDescent="0.2">
      <c r="N368" s="21"/>
      <c r="Q368" s="21"/>
      <c r="T368" s="21"/>
      <c r="V368" s="21"/>
      <c r="Y368" s="21"/>
    </row>
    <row r="369" spans="14:25" x14ac:dyDescent="0.2">
      <c r="N369" s="21"/>
      <c r="Q369" s="21"/>
      <c r="T369" s="21"/>
      <c r="V369" s="21"/>
      <c r="Y369" s="21"/>
    </row>
    <row r="370" spans="14:25" x14ac:dyDescent="0.2">
      <c r="N370" s="21"/>
      <c r="Q370" s="21"/>
      <c r="T370" s="21"/>
      <c r="V370" s="21"/>
      <c r="Y370" s="21"/>
    </row>
    <row r="371" spans="14:25" x14ac:dyDescent="0.2">
      <c r="N371" s="21"/>
      <c r="Q371" s="21"/>
      <c r="T371" s="21"/>
      <c r="V371" s="21"/>
      <c r="Y371" s="21"/>
    </row>
    <row r="372" spans="14:25" x14ac:dyDescent="0.2">
      <c r="N372" s="21"/>
      <c r="Q372" s="21"/>
      <c r="T372" s="21"/>
      <c r="V372" s="21"/>
      <c r="Y372" s="21"/>
    </row>
    <row r="373" spans="14:25" x14ac:dyDescent="0.2">
      <c r="N373" s="21"/>
      <c r="Q373" s="21"/>
      <c r="T373" s="21"/>
      <c r="V373" s="21"/>
      <c r="Y373" s="21"/>
    </row>
    <row r="374" spans="14:25" x14ac:dyDescent="0.2">
      <c r="N374" s="21"/>
      <c r="Q374" s="21"/>
      <c r="T374" s="21"/>
      <c r="V374" s="21"/>
      <c r="Y374" s="21"/>
    </row>
    <row r="375" spans="14:25" x14ac:dyDescent="0.2">
      <c r="N375" s="21"/>
      <c r="Q375" s="21"/>
      <c r="T375" s="21"/>
      <c r="V375" s="21"/>
      <c r="Y375" s="21"/>
    </row>
    <row r="376" spans="14:25" x14ac:dyDescent="0.2">
      <c r="N376" s="21"/>
      <c r="Q376" s="21"/>
      <c r="T376" s="21"/>
      <c r="V376" s="21"/>
      <c r="Y376" s="21"/>
    </row>
    <row r="377" spans="14:25" x14ac:dyDescent="0.2">
      <c r="N377" s="21"/>
      <c r="Q377" s="21"/>
      <c r="T377" s="21"/>
      <c r="V377" s="21"/>
      <c r="Y377" s="21"/>
    </row>
    <row r="378" spans="14:25" x14ac:dyDescent="0.2">
      <c r="N378" s="21"/>
      <c r="Q378" s="21"/>
      <c r="T378" s="21"/>
      <c r="V378" s="21"/>
      <c r="Y378" s="21"/>
    </row>
    <row r="379" spans="14:25" x14ac:dyDescent="0.2">
      <c r="N379" s="21"/>
      <c r="Q379" s="21"/>
      <c r="T379" s="21"/>
      <c r="V379" s="21"/>
      <c r="Y379" s="21"/>
    </row>
    <row r="380" spans="14:25" x14ac:dyDescent="0.2">
      <c r="N380" s="21"/>
      <c r="Q380" s="21"/>
      <c r="T380" s="21"/>
      <c r="V380" s="21"/>
      <c r="Y380" s="21"/>
    </row>
    <row r="381" spans="14:25" x14ac:dyDescent="0.2">
      <c r="N381" s="21"/>
      <c r="Q381" s="21"/>
      <c r="T381" s="21"/>
      <c r="V381" s="21"/>
      <c r="Y381" s="21"/>
    </row>
    <row r="382" spans="14:25" x14ac:dyDescent="0.2">
      <c r="N382" s="21"/>
      <c r="Q382" s="21"/>
      <c r="T382" s="21"/>
      <c r="V382" s="21"/>
      <c r="Y382" s="21"/>
    </row>
    <row r="383" spans="14:25" x14ac:dyDescent="0.2">
      <c r="N383" s="21"/>
      <c r="Q383" s="21"/>
      <c r="T383" s="21"/>
      <c r="V383" s="21"/>
      <c r="Y383" s="21"/>
    </row>
    <row r="384" spans="14:25" x14ac:dyDescent="0.2">
      <c r="N384" s="21"/>
      <c r="Q384" s="21"/>
      <c r="T384" s="21"/>
      <c r="V384" s="21"/>
      <c r="Y384" s="21"/>
    </row>
    <row r="385" spans="14:25" x14ac:dyDescent="0.2">
      <c r="N385" s="21"/>
      <c r="Q385" s="21"/>
      <c r="T385" s="21"/>
      <c r="V385" s="21"/>
      <c r="Y385" s="21"/>
    </row>
    <row r="386" spans="14:25" x14ac:dyDescent="0.2">
      <c r="N386" s="21"/>
      <c r="Q386" s="21"/>
      <c r="T386" s="21"/>
      <c r="V386" s="21"/>
      <c r="Y386" s="21"/>
    </row>
    <row r="387" spans="14:25" x14ac:dyDescent="0.2">
      <c r="N387" s="21"/>
      <c r="Q387" s="21"/>
      <c r="T387" s="21"/>
      <c r="V387" s="21"/>
      <c r="Y387" s="21"/>
    </row>
    <row r="388" spans="14:25" x14ac:dyDescent="0.2">
      <c r="N388" s="21"/>
      <c r="Q388" s="21"/>
      <c r="T388" s="21"/>
      <c r="V388" s="21"/>
      <c r="Y388" s="21"/>
    </row>
    <row r="389" spans="14:25" x14ac:dyDescent="0.2">
      <c r="N389" s="21"/>
      <c r="Q389" s="21"/>
      <c r="T389" s="21"/>
      <c r="V389" s="21"/>
      <c r="Y389" s="21"/>
    </row>
    <row r="390" spans="14:25" x14ac:dyDescent="0.2">
      <c r="N390" s="21"/>
      <c r="Q390" s="21"/>
      <c r="T390" s="21"/>
      <c r="V390" s="21"/>
      <c r="Y390" s="21"/>
    </row>
    <row r="391" spans="14:25" x14ac:dyDescent="0.2">
      <c r="N391" s="21"/>
      <c r="Q391" s="21"/>
      <c r="T391" s="21"/>
      <c r="V391" s="21"/>
      <c r="Y391" s="21"/>
    </row>
    <row r="392" spans="14:25" x14ac:dyDescent="0.2">
      <c r="N392" s="21"/>
      <c r="Q392" s="21"/>
      <c r="T392" s="21"/>
      <c r="V392" s="21"/>
      <c r="Y392" s="21"/>
    </row>
    <row r="393" spans="14:25" x14ac:dyDescent="0.2">
      <c r="N393" s="21"/>
      <c r="Q393" s="21"/>
      <c r="T393" s="21"/>
      <c r="V393" s="21"/>
      <c r="Y393" s="21"/>
    </row>
    <row r="394" spans="14:25" x14ac:dyDescent="0.2">
      <c r="N394" s="21"/>
      <c r="Q394" s="21"/>
      <c r="T394" s="21"/>
      <c r="V394" s="21"/>
      <c r="Y394" s="21"/>
    </row>
    <row r="395" spans="14:25" x14ac:dyDescent="0.2">
      <c r="N395" s="21"/>
      <c r="Q395" s="21"/>
      <c r="T395" s="21"/>
      <c r="V395" s="21"/>
      <c r="Y395" s="21"/>
    </row>
    <row r="396" spans="14:25" x14ac:dyDescent="0.2">
      <c r="N396" s="21"/>
      <c r="Q396" s="21"/>
      <c r="T396" s="21"/>
      <c r="V396" s="21"/>
      <c r="Y396" s="21"/>
    </row>
    <row r="397" spans="14:25" x14ac:dyDescent="0.2">
      <c r="N397" s="21"/>
      <c r="Q397" s="21"/>
      <c r="T397" s="21"/>
      <c r="V397" s="21"/>
      <c r="Y397" s="21"/>
    </row>
    <row r="398" spans="14:25" x14ac:dyDescent="0.2">
      <c r="N398" s="21"/>
      <c r="Q398" s="21"/>
      <c r="T398" s="21"/>
      <c r="V398" s="21"/>
      <c r="Y398" s="21"/>
    </row>
    <row r="399" spans="14:25" x14ac:dyDescent="0.2">
      <c r="N399" s="21"/>
      <c r="Q399" s="21"/>
      <c r="T399" s="21"/>
      <c r="V399" s="21"/>
      <c r="Y399" s="21"/>
    </row>
    <row r="400" spans="14:25" x14ac:dyDescent="0.2">
      <c r="N400" s="21"/>
      <c r="Q400" s="21"/>
      <c r="T400" s="21"/>
      <c r="V400" s="21"/>
      <c r="Y400" s="21"/>
    </row>
    <row r="401" spans="14:25" x14ac:dyDescent="0.2">
      <c r="N401" s="21"/>
      <c r="Q401" s="21"/>
      <c r="T401" s="21"/>
      <c r="V401" s="21"/>
      <c r="Y401" s="21"/>
    </row>
    <row r="402" spans="14:25" x14ac:dyDescent="0.2">
      <c r="N402" s="21"/>
      <c r="Q402" s="21"/>
      <c r="T402" s="21"/>
      <c r="V402" s="21"/>
      <c r="Y402" s="21"/>
    </row>
    <row r="403" spans="14:25" x14ac:dyDescent="0.2">
      <c r="N403" s="21"/>
      <c r="Q403" s="21"/>
      <c r="T403" s="21"/>
      <c r="V403" s="21"/>
      <c r="Y403" s="21"/>
    </row>
    <row r="404" spans="14:25" x14ac:dyDescent="0.2">
      <c r="N404" s="21"/>
      <c r="Q404" s="21"/>
      <c r="T404" s="21"/>
      <c r="V404" s="21"/>
      <c r="Y404" s="21"/>
    </row>
    <row r="405" spans="14:25" x14ac:dyDescent="0.2">
      <c r="N405" s="21"/>
      <c r="Q405" s="21"/>
      <c r="T405" s="21"/>
      <c r="V405" s="21"/>
      <c r="Y405" s="21"/>
    </row>
    <row r="406" spans="14:25" x14ac:dyDescent="0.2">
      <c r="N406" s="21"/>
      <c r="Q406" s="21"/>
      <c r="T406" s="21"/>
      <c r="V406" s="21"/>
      <c r="Y406" s="21"/>
    </row>
    <row r="407" spans="14:25" x14ac:dyDescent="0.2">
      <c r="N407" s="21"/>
      <c r="Q407" s="21"/>
      <c r="T407" s="21"/>
      <c r="V407" s="21"/>
      <c r="Y407" s="21"/>
    </row>
    <row r="408" spans="14:25" x14ac:dyDescent="0.2">
      <c r="N408" s="21"/>
      <c r="Q408" s="21"/>
      <c r="T408" s="21"/>
      <c r="V408" s="21"/>
      <c r="Y408" s="21"/>
    </row>
    <row r="409" spans="14:25" x14ac:dyDescent="0.2">
      <c r="N409" s="21"/>
      <c r="Q409" s="21"/>
      <c r="T409" s="21"/>
      <c r="V409" s="21"/>
      <c r="Y409" s="21"/>
    </row>
    <row r="410" spans="14:25" x14ac:dyDescent="0.2">
      <c r="N410" s="21"/>
      <c r="Q410" s="21"/>
      <c r="T410" s="21"/>
      <c r="V410" s="21"/>
      <c r="Y410" s="21"/>
    </row>
    <row r="411" spans="14:25" x14ac:dyDescent="0.2">
      <c r="N411" s="21"/>
      <c r="Q411" s="21"/>
      <c r="T411" s="21"/>
      <c r="V411" s="21"/>
      <c r="Y411" s="21"/>
    </row>
    <row r="412" spans="14:25" x14ac:dyDescent="0.2">
      <c r="N412" s="21"/>
      <c r="Q412" s="21"/>
      <c r="T412" s="21"/>
      <c r="V412" s="21"/>
      <c r="Y412" s="21"/>
    </row>
    <row r="413" spans="14:25" x14ac:dyDescent="0.2">
      <c r="N413" s="21"/>
      <c r="Q413" s="21"/>
      <c r="T413" s="21"/>
      <c r="V413" s="21"/>
      <c r="Y413" s="21"/>
    </row>
    <row r="414" spans="14:25" x14ac:dyDescent="0.2">
      <c r="N414" s="21"/>
      <c r="Q414" s="21"/>
      <c r="T414" s="21"/>
      <c r="V414" s="21"/>
      <c r="Y414" s="21"/>
    </row>
    <row r="415" spans="14:25" x14ac:dyDescent="0.2">
      <c r="N415" s="21"/>
      <c r="Q415" s="21"/>
      <c r="T415" s="21"/>
      <c r="V415" s="21"/>
      <c r="Y415" s="21"/>
    </row>
    <row r="416" spans="14:25" x14ac:dyDescent="0.2">
      <c r="N416" s="21"/>
      <c r="Q416" s="21"/>
      <c r="T416" s="21"/>
      <c r="V416" s="21"/>
      <c r="Y416" s="21"/>
    </row>
    <row r="417" spans="14:25" x14ac:dyDescent="0.2">
      <c r="N417" s="21"/>
      <c r="Q417" s="21"/>
      <c r="T417" s="21"/>
      <c r="V417" s="21"/>
      <c r="Y417" s="21"/>
    </row>
    <row r="418" spans="14:25" x14ac:dyDescent="0.2">
      <c r="N418" s="21"/>
      <c r="Q418" s="21"/>
      <c r="T418" s="21"/>
      <c r="V418" s="21"/>
      <c r="Y418" s="21"/>
    </row>
    <row r="419" spans="14:25" x14ac:dyDescent="0.2">
      <c r="N419" s="21"/>
      <c r="Q419" s="21"/>
      <c r="T419" s="21"/>
      <c r="V419" s="21"/>
      <c r="Y419" s="21"/>
    </row>
    <row r="420" spans="14:25" x14ac:dyDescent="0.2">
      <c r="N420" s="21"/>
      <c r="Q420" s="21"/>
      <c r="T420" s="21"/>
      <c r="V420" s="21"/>
      <c r="Y420" s="21"/>
    </row>
    <row r="421" spans="14:25" x14ac:dyDescent="0.2">
      <c r="N421" s="21"/>
      <c r="Q421" s="21"/>
      <c r="T421" s="21"/>
      <c r="V421" s="21"/>
      <c r="Y421" s="21"/>
    </row>
    <row r="422" spans="14:25" x14ac:dyDescent="0.2">
      <c r="N422" s="21"/>
      <c r="Q422" s="21"/>
      <c r="T422" s="21"/>
      <c r="V422" s="21"/>
      <c r="Y422" s="21"/>
    </row>
    <row r="423" spans="14:25" x14ac:dyDescent="0.2">
      <c r="N423" s="21"/>
      <c r="Q423" s="21"/>
      <c r="T423" s="21"/>
      <c r="V423" s="21"/>
      <c r="Y423" s="21"/>
    </row>
    <row r="424" spans="14:25" x14ac:dyDescent="0.2">
      <c r="N424" s="21"/>
      <c r="Q424" s="21"/>
      <c r="T424" s="21"/>
      <c r="V424" s="21"/>
      <c r="Y424" s="21"/>
    </row>
    <row r="425" spans="14:25" x14ac:dyDescent="0.2">
      <c r="N425" s="21"/>
      <c r="Q425" s="21"/>
      <c r="T425" s="21"/>
      <c r="V425" s="21"/>
      <c r="Y425" s="21"/>
    </row>
    <row r="426" spans="14:25" x14ac:dyDescent="0.2">
      <c r="N426" s="21"/>
      <c r="Q426" s="21"/>
      <c r="T426" s="21"/>
      <c r="V426" s="21"/>
      <c r="Y426" s="21"/>
    </row>
    <row r="427" spans="14:25" x14ac:dyDescent="0.2">
      <c r="N427" s="21"/>
      <c r="Q427" s="21"/>
      <c r="T427" s="21"/>
      <c r="V427" s="21"/>
      <c r="Y427" s="21"/>
    </row>
    <row r="428" spans="14:25" x14ac:dyDescent="0.2">
      <c r="N428" s="21"/>
      <c r="Q428" s="21"/>
      <c r="T428" s="21"/>
      <c r="V428" s="21"/>
      <c r="Y428" s="21"/>
    </row>
    <row r="429" spans="14:25" x14ac:dyDescent="0.2">
      <c r="N429" s="21"/>
      <c r="Q429" s="21"/>
      <c r="T429" s="21"/>
      <c r="V429" s="21"/>
      <c r="Y429" s="21"/>
    </row>
    <row r="430" spans="14:25" x14ac:dyDescent="0.2">
      <c r="N430" s="21"/>
      <c r="Q430" s="21"/>
      <c r="T430" s="21"/>
      <c r="V430" s="21"/>
      <c r="Y430" s="21"/>
    </row>
    <row r="431" spans="14:25" x14ac:dyDescent="0.2">
      <c r="N431" s="21"/>
      <c r="Q431" s="21"/>
      <c r="T431" s="21"/>
      <c r="V431" s="21"/>
      <c r="Y431" s="21"/>
    </row>
    <row r="432" spans="14:25" x14ac:dyDescent="0.2">
      <c r="N432" s="21"/>
      <c r="Q432" s="21"/>
      <c r="T432" s="21"/>
      <c r="V432" s="21"/>
      <c r="Y432" s="21"/>
    </row>
    <row r="433" spans="14:25" x14ac:dyDescent="0.2">
      <c r="N433" s="21"/>
      <c r="Q433" s="21"/>
      <c r="T433" s="21"/>
      <c r="V433" s="21"/>
      <c r="Y433" s="21"/>
    </row>
    <row r="434" spans="14:25" x14ac:dyDescent="0.2">
      <c r="N434" s="21"/>
      <c r="Q434" s="21"/>
      <c r="T434" s="21"/>
      <c r="V434" s="21"/>
      <c r="Y434" s="21"/>
    </row>
    <row r="435" spans="14:25" x14ac:dyDescent="0.2">
      <c r="N435" s="21"/>
      <c r="Q435" s="21"/>
      <c r="T435" s="21"/>
      <c r="V435" s="21"/>
      <c r="Y435" s="21"/>
    </row>
    <row r="436" spans="14:25" x14ac:dyDescent="0.2">
      <c r="N436" s="21"/>
      <c r="Q436" s="21"/>
      <c r="T436" s="21"/>
      <c r="V436" s="21"/>
      <c r="Y436" s="21"/>
    </row>
    <row r="437" spans="14:25" x14ac:dyDescent="0.2">
      <c r="N437" s="21"/>
      <c r="Q437" s="21"/>
      <c r="T437" s="21"/>
      <c r="V437" s="21"/>
      <c r="Y437" s="21"/>
    </row>
    <row r="438" spans="14:25" x14ac:dyDescent="0.2">
      <c r="N438" s="21"/>
      <c r="Q438" s="21"/>
      <c r="T438" s="21"/>
      <c r="V438" s="21"/>
      <c r="Y438" s="21"/>
    </row>
    <row r="439" spans="14:25" x14ac:dyDescent="0.2">
      <c r="N439" s="21"/>
      <c r="Q439" s="21"/>
      <c r="T439" s="21"/>
      <c r="V439" s="21"/>
      <c r="Y439" s="21"/>
    </row>
    <row r="440" spans="14:25" x14ac:dyDescent="0.2">
      <c r="N440" s="21"/>
      <c r="Q440" s="21"/>
      <c r="T440" s="21"/>
      <c r="V440" s="21"/>
      <c r="Y440" s="21"/>
    </row>
    <row r="441" spans="14:25" x14ac:dyDescent="0.2">
      <c r="N441" s="21"/>
      <c r="Q441" s="21"/>
      <c r="T441" s="21"/>
      <c r="V441" s="21"/>
      <c r="Y441" s="21"/>
    </row>
    <row r="442" spans="14:25" x14ac:dyDescent="0.2">
      <c r="N442" s="21"/>
      <c r="Q442" s="21"/>
      <c r="T442" s="21"/>
      <c r="V442" s="21"/>
      <c r="Y442" s="21"/>
    </row>
    <row r="443" spans="14:25" x14ac:dyDescent="0.2">
      <c r="N443" s="21"/>
      <c r="Q443" s="21"/>
      <c r="T443" s="21"/>
      <c r="V443" s="21"/>
      <c r="Y443" s="21"/>
    </row>
    <row r="444" spans="14:25" x14ac:dyDescent="0.2">
      <c r="N444" s="21"/>
      <c r="Q444" s="21"/>
      <c r="T444" s="21"/>
      <c r="V444" s="21"/>
      <c r="Y444" s="21"/>
    </row>
    <row r="445" spans="14:25" x14ac:dyDescent="0.2">
      <c r="N445" s="21"/>
      <c r="Q445" s="21"/>
      <c r="T445" s="21"/>
      <c r="V445" s="21"/>
      <c r="Y445" s="21"/>
    </row>
    <row r="446" spans="14:25" x14ac:dyDescent="0.2">
      <c r="N446" s="21"/>
      <c r="Q446" s="21"/>
      <c r="T446" s="21"/>
      <c r="V446" s="21"/>
      <c r="Y446" s="21"/>
    </row>
    <row r="447" spans="14:25" x14ac:dyDescent="0.2">
      <c r="N447" s="21"/>
      <c r="Q447" s="21"/>
      <c r="T447" s="21"/>
      <c r="V447" s="21"/>
      <c r="Y447" s="21"/>
    </row>
    <row r="448" spans="14:25" x14ac:dyDescent="0.2">
      <c r="N448" s="21"/>
      <c r="Q448" s="21"/>
      <c r="T448" s="21"/>
      <c r="V448" s="21"/>
      <c r="Y448" s="21"/>
    </row>
    <row r="449" spans="14:25" x14ac:dyDescent="0.2">
      <c r="N449" s="21"/>
      <c r="Q449" s="21"/>
      <c r="T449" s="21"/>
      <c r="V449" s="21"/>
      <c r="Y449" s="21"/>
    </row>
    <row r="450" spans="14:25" x14ac:dyDescent="0.2">
      <c r="N450" s="21"/>
      <c r="Q450" s="21"/>
      <c r="T450" s="21"/>
      <c r="V450" s="21"/>
      <c r="Y450" s="21"/>
    </row>
    <row r="451" spans="14:25" x14ac:dyDescent="0.2">
      <c r="N451" s="21"/>
      <c r="Q451" s="21"/>
      <c r="T451" s="21"/>
      <c r="V451" s="21"/>
      <c r="Y451" s="21"/>
    </row>
    <row r="452" spans="14:25" x14ac:dyDescent="0.2">
      <c r="N452" s="21"/>
      <c r="Q452" s="21"/>
      <c r="T452" s="21"/>
      <c r="V452" s="21"/>
      <c r="Y452" s="21"/>
    </row>
    <row r="453" spans="14:25" x14ac:dyDescent="0.2">
      <c r="N453" s="21"/>
      <c r="Q453" s="21"/>
      <c r="T453" s="21"/>
      <c r="V453" s="21"/>
      <c r="Y453" s="21"/>
    </row>
    <row r="454" spans="14:25" x14ac:dyDescent="0.2">
      <c r="N454" s="21"/>
      <c r="Q454" s="21"/>
      <c r="T454" s="21"/>
      <c r="V454" s="21"/>
      <c r="Y454" s="21"/>
    </row>
    <row r="455" spans="14:25" x14ac:dyDescent="0.2">
      <c r="N455" s="21"/>
      <c r="Q455" s="21"/>
      <c r="T455" s="21"/>
      <c r="V455" s="21"/>
      <c r="Y455" s="21"/>
    </row>
    <row r="456" spans="14:25" x14ac:dyDescent="0.2">
      <c r="N456" s="21"/>
      <c r="Q456" s="21"/>
      <c r="T456" s="21"/>
      <c r="V456" s="21"/>
      <c r="Y456" s="21"/>
    </row>
    <row r="457" spans="14:25" x14ac:dyDescent="0.2">
      <c r="N457" s="21"/>
      <c r="Q457" s="21"/>
      <c r="T457" s="21"/>
      <c r="V457" s="21"/>
      <c r="Y457" s="21"/>
    </row>
    <row r="458" spans="14:25" x14ac:dyDescent="0.2">
      <c r="N458" s="21"/>
      <c r="Q458" s="21"/>
      <c r="T458" s="21"/>
      <c r="V458" s="21"/>
      <c r="Y458" s="21"/>
    </row>
    <row r="459" spans="14:25" x14ac:dyDescent="0.2">
      <c r="N459" s="21"/>
      <c r="Q459" s="21"/>
      <c r="T459" s="21"/>
      <c r="V459" s="21"/>
      <c r="Y459" s="21"/>
    </row>
    <row r="460" spans="14:25" x14ac:dyDescent="0.2">
      <c r="N460" s="21"/>
      <c r="Q460" s="21"/>
      <c r="T460" s="21"/>
      <c r="V460" s="21"/>
      <c r="Y460" s="21"/>
    </row>
    <row r="461" spans="14:25" x14ac:dyDescent="0.2">
      <c r="N461" s="21"/>
      <c r="Q461" s="21"/>
      <c r="T461" s="21"/>
      <c r="V461" s="21"/>
      <c r="Y461" s="21"/>
    </row>
    <row r="462" spans="14:25" x14ac:dyDescent="0.2">
      <c r="N462" s="21"/>
      <c r="Q462" s="21"/>
      <c r="T462" s="21"/>
      <c r="V462" s="21"/>
      <c r="Y462" s="21"/>
    </row>
    <row r="463" spans="14:25" x14ac:dyDescent="0.2">
      <c r="N463" s="21"/>
      <c r="Q463" s="21"/>
      <c r="T463" s="21"/>
      <c r="V463" s="21"/>
      <c r="Y463" s="21"/>
    </row>
    <row r="464" spans="14:25" x14ac:dyDescent="0.2">
      <c r="N464" s="21"/>
      <c r="Q464" s="21"/>
      <c r="T464" s="21"/>
      <c r="V464" s="21"/>
      <c r="Y464" s="21"/>
    </row>
    <row r="465" spans="14:25" x14ac:dyDescent="0.2">
      <c r="N465" s="21"/>
      <c r="Q465" s="21"/>
      <c r="T465" s="21"/>
      <c r="V465" s="21"/>
      <c r="Y465" s="21"/>
    </row>
    <row r="466" spans="14:25" x14ac:dyDescent="0.2">
      <c r="N466" s="21"/>
      <c r="Q466" s="21"/>
      <c r="T466" s="21"/>
      <c r="V466" s="21"/>
      <c r="Y466" s="21"/>
    </row>
    <row r="467" spans="14:25" x14ac:dyDescent="0.2">
      <c r="N467" s="21"/>
      <c r="Q467" s="21"/>
      <c r="T467" s="21"/>
      <c r="V467" s="21"/>
      <c r="Y467" s="21"/>
    </row>
    <row r="468" spans="14:25" x14ac:dyDescent="0.2">
      <c r="N468" s="21"/>
      <c r="Q468" s="21"/>
      <c r="T468" s="21"/>
      <c r="V468" s="21"/>
      <c r="Y468" s="21"/>
    </row>
    <row r="469" spans="14:25" x14ac:dyDescent="0.2">
      <c r="N469" s="21"/>
      <c r="Q469" s="21"/>
      <c r="T469" s="21"/>
      <c r="V469" s="21"/>
      <c r="Y469" s="21"/>
    </row>
    <row r="470" spans="14:25" x14ac:dyDescent="0.2">
      <c r="N470" s="21"/>
      <c r="Q470" s="21"/>
      <c r="T470" s="21"/>
      <c r="V470" s="21"/>
      <c r="Y470" s="21"/>
    </row>
    <row r="471" spans="14:25" x14ac:dyDescent="0.2">
      <c r="N471" s="21"/>
      <c r="Q471" s="21"/>
      <c r="T471" s="21"/>
      <c r="V471" s="21"/>
      <c r="Y471" s="21"/>
    </row>
    <row r="472" spans="14:25" x14ac:dyDescent="0.2">
      <c r="N472" s="21"/>
      <c r="Q472" s="21"/>
      <c r="T472" s="21"/>
      <c r="V472" s="21"/>
      <c r="Y472" s="21"/>
    </row>
    <row r="473" spans="14:25" x14ac:dyDescent="0.2">
      <c r="N473" s="21"/>
      <c r="Q473" s="21"/>
      <c r="T473" s="21"/>
      <c r="V473" s="21"/>
      <c r="Y473" s="21"/>
    </row>
    <row r="474" spans="14:25" x14ac:dyDescent="0.2">
      <c r="N474" s="21"/>
      <c r="Q474" s="21"/>
      <c r="T474" s="21"/>
      <c r="V474" s="21"/>
      <c r="Y474" s="21"/>
    </row>
    <row r="475" spans="14:25" x14ac:dyDescent="0.2">
      <c r="N475" s="21"/>
      <c r="Q475" s="21"/>
      <c r="T475" s="21"/>
      <c r="V475" s="21"/>
      <c r="Y475" s="21"/>
    </row>
    <row r="476" spans="14:25" x14ac:dyDescent="0.2">
      <c r="N476" s="21"/>
      <c r="Q476" s="21"/>
      <c r="T476" s="21"/>
      <c r="V476" s="21"/>
      <c r="Y476" s="21"/>
    </row>
    <row r="477" spans="14:25" x14ac:dyDescent="0.2">
      <c r="N477" s="21"/>
      <c r="Q477" s="21"/>
      <c r="T477" s="21"/>
      <c r="V477" s="21"/>
      <c r="Y477" s="21"/>
    </row>
    <row r="478" spans="14:25" x14ac:dyDescent="0.2">
      <c r="N478" s="21"/>
      <c r="Q478" s="21"/>
      <c r="T478" s="21"/>
      <c r="V478" s="21"/>
      <c r="Y478" s="21"/>
    </row>
    <row r="479" spans="14:25" x14ac:dyDescent="0.2">
      <c r="N479" s="21"/>
      <c r="Q479" s="21"/>
      <c r="T479" s="21"/>
      <c r="V479" s="21"/>
      <c r="Y479" s="21"/>
    </row>
    <row r="480" spans="14:25" x14ac:dyDescent="0.2">
      <c r="N480" s="21"/>
      <c r="Q480" s="21"/>
      <c r="T480" s="21"/>
      <c r="V480" s="21"/>
      <c r="Y480" s="21"/>
    </row>
    <row r="481" spans="14:25" x14ac:dyDescent="0.2">
      <c r="N481" s="21"/>
      <c r="Q481" s="21"/>
      <c r="T481" s="21"/>
      <c r="V481" s="21"/>
      <c r="Y481" s="21"/>
    </row>
    <row r="482" spans="14:25" x14ac:dyDescent="0.2">
      <c r="N482" s="21"/>
      <c r="Q482" s="21"/>
      <c r="T482" s="21"/>
      <c r="V482" s="21"/>
      <c r="Y482" s="21"/>
    </row>
    <row r="483" spans="14:25" x14ac:dyDescent="0.2">
      <c r="N483" s="21"/>
      <c r="Q483" s="21"/>
      <c r="T483" s="21"/>
      <c r="V483" s="21"/>
      <c r="Y483" s="21"/>
    </row>
    <row r="484" spans="14:25" x14ac:dyDescent="0.2">
      <c r="N484" s="21"/>
      <c r="Q484" s="21"/>
      <c r="T484" s="21"/>
      <c r="V484" s="21"/>
      <c r="Y484" s="21"/>
    </row>
    <row r="485" spans="14:25" x14ac:dyDescent="0.2">
      <c r="N485" s="21"/>
      <c r="Q485" s="21"/>
      <c r="T485" s="21"/>
      <c r="V485" s="21"/>
      <c r="Y485" s="21"/>
    </row>
    <row r="486" spans="14:25" x14ac:dyDescent="0.2">
      <c r="N486" s="21"/>
      <c r="Q486" s="21"/>
      <c r="T486" s="21"/>
      <c r="V486" s="21"/>
      <c r="Y486" s="21"/>
    </row>
    <row r="487" spans="14:25" x14ac:dyDescent="0.2">
      <c r="N487" s="21"/>
      <c r="Q487" s="21"/>
      <c r="T487" s="21"/>
      <c r="V487" s="21"/>
      <c r="Y487" s="21"/>
    </row>
    <row r="488" spans="14:25" x14ac:dyDescent="0.2">
      <c r="N488" s="21"/>
      <c r="Q488" s="21"/>
      <c r="T488" s="21"/>
      <c r="V488" s="21"/>
      <c r="Y488" s="21"/>
    </row>
    <row r="489" spans="14:25" x14ac:dyDescent="0.2">
      <c r="N489" s="21"/>
      <c r="Q489" s="21"/>
      <c r="T489" s="21"/>
      <c r="V489" s="21"/>
      <c r="Y489" s="21"/>
    </row>
    <row r="490" spans="14:25" x14ac:dyDescent="0.2">
      <c r="N490" s="21"/>
      <c r="Q490" s="21"/>
      <c r="T490" s="21"/>
      <c r="V490" s="21"/>
      <c r="Y490" s="21"/>
    </row>
    <row r="491" spans="14:25" x14ac:dyDescent="0.2">
      <c r="N491" s="21"/>
      <c r="Q491" s="21"/>
      <c r="T491" s="21"/>
      <c r="V491" s="21"/>
      <c r="Y491" s="21"/>
    </row>
    <row r="492" spans="14:25" x14ac:dyDescent="0.2">
      <c r="N492" s="21"/>
      <c r="Q492" s="21"/>
      <c r="T492" s="21"/>
      <c r="V492" s="21"/>
      <c r="Y492" s="21"/>
    </row>
    <row r="493" spans="14:25" x14ac:dyDescent="0.2">
      <c r="N493" s="21"/>
      <c r="Q493" s="21"/>
      <c r="T493" s="21"/>
      <c r="V493" s="21"/>
      <c r="Y493" s="21"/>
    </row>
    <row r="494" spans="14:25" x14ac:dyDescent="0.2">
      <c r="N494" s="21"/>
      <c r="Q494" s="21"/>
      <c r="T494" s="21"/>
      <c r="V494" s="21"/>
      <c r="Y494" s="21"/>
    </row>
    <row r="495" spans="14:25" x14ac:dyDescent="0.2">
      <c r="N495" s="21"/>
      <c r="Q495" s="21"/>
      <c r="T495" s="21"/>
      <c r="V495" s="21"/>
      <c r="Y495" s="21"/>
    </row>
    <row r="496" spans="14:25" x14ac:dyDescent="0.2">
      <c r="N496" s="21"/>
      <c r="Q496" s="21"/>
      <c r="T496" s="21"/>
      <c r="V496" s="21"/>
      <c r="Y496" s="21"/>
    </row>
    <row r="497" spans="14:25" x14ac:dyDescent="0.2">
      <c r="N497" s="21"/>
      <c r="Q497" s="21"/>
      <c r="T497" s="21"/>
      <c r="V497" s="21"/>
      <c r="Y497" s="21"/>
    </row>
    <row r="498" spans="14:25" x14ac:dyDescent="0.2">
      <c r="N498" s="21"/>
      <c r="Q498" s="21"/>
      <c r="T498" s="21"/>
      <c r="V498" s="21"/>
      <c r="Y498" s="21"/>
    </row>
    <row r="499" spans="14:25" x14ac:dyDescent="0.2">
      <c r="N499" s="21"/>
      <c r="Q499" s="21"/>
      <c r="T499" s="21"/>
      <c r="V499" s="21"/>
      <c r="Y499" s="21"/>
    </row>
    <row r="500" spans="14:25" x14ac:dyDescent="0.2">
      <c r="N500" s="21"/>
      <c r="Q500" s="21"/>
      <c r="T500" s="21"/>
      <c r="V500" s="21"/>
      <c r="Y500" s="21"/>
    </row>
    <row r="501" spans="14:25" x14ac:dyDescent="0.2">
      <c r="N501" s="21"/>
      <c r="Q501" s="21"/>
      <c r="T501" s="21"/>
      <c r="V501" s="21"/>
      <c r="Y501" s="21"/>
    </row>
    <row r="502" spans="14:25" x14ac:dyDescent="0.2">
      <c r="N502" s="21"/>
      <c r="Q502" s="21"/>
      <c r="T502" s="21"/>
      <c r="V502" s="21"/>
      <c r="Y502" s="21"/>
    </row>
    <row r="503" spans="14:25" x14ac:dyDescent="0.2">
      <c r="N503" s="21"/>
      <c r="Q503" s="21"/>
      <c r="T503" s="21"/>
      <c r="V503" s="21"/>
      <c r="Y503" s="21"/>
    </row>
    <row r="504" spans="14:25" x14ac:dyDescent="0.2">
      <c r="N504" s="21"/>
      <c r="Q504" s="21"/>
      <c r="T504" s="21"/>
      <c r="V504" s="21"/>
      <c r="Y504" s="21"/>
    </row>
    <row r="505" spans="14:25" x14ac:dyDescent="0.2">
      <c r="N505" s="21"/>
      <c r="Q505" s="21"/>
      <c r="T505" s="21"/>
      <c r="V505" s="21"/>
      <c r="Y505" s="21"/>
    </row>
    <row r="506" spans="14:25" x14ac:dyDescent="0.2">
      <c r="N506" s="21"/>
      <c r="Q506" s="21"/>
      <c r="T506" s="21"/>
      <c r="V506" s="21"/>
      <c r="Y506" s="21"/>
    </row>
    <row r="507" spans="14:25" x14ac:dyDescent="0.2">
      <c r="N507" s="21"/>
      <c r="Q507" s="21"/>
      <c r="T507" s="21"/>
      <c r="V507" s="21"/>
      <c r="Y507" s="21"/>
    </row>
    <row r="508" spans="14:25" x14ac:dyDescent="0.2">
      <c r="N508" s="21"/>
      <c r="Q508" s="21"/>
      <c r="T508" s="21"/>
      <c r="V508" s="21"/>
      <c r="Y508" s="21"/>
    </row>
    <row r="509" spans="14:25" x14ac:dyDescent="0.2">
      <c r="N509" s="21"/>
      <c r="Q509" s="21"/>
      <c r="T509" s="21"/>
      <c r="V509" s="21"/>
      <c r="Y509" s="21"/>
    </row>
    <row r="510" spans="14:25" x14ac:dyDescent="0.2">
      <c r="N510" s="21"/>
      <c r="Q510" s="21"/>
      <c r="T510" s="21"/>
      <c r="V510" s="21"/>
      <c r="Y510" s="21"/>
    </row>
    <row r="511" spans="14:25" x14ac:dyDescent="0.2">
      <c r="N511" s="21"/>
      <c r="Q511" s="21"/>
      <c r="T511" s="21"/>
      <c r="V511" s="21"/>
      <c r="Y511" s="21"/>
    </row>
    <row r="512" spans="14:25" x14ac:dyDescent="0.2">
      <c r="N512" s="21"/>
      <c r="Q512" s="21"/>
      <c r="T512" s="21"/>
      <c r="V512" s="21"/>
      <c r="Y512" s="21"/>
    </row>
    <row r="513" spans="14:25" x14ac:dyDescent="0.2">
      <c r="N513" s="21"/>
      <c r="Q513" s="21"/>
      <c r="T513" s="21"/>
      <c r="V513" s="21"/>
      <c r="Y513" s="21"/>
    </row>
    <row r="514" spans="14:25" x14ac:dyDescent="0.2">
      <c r="N514" s="21"/>
      <c r="Q514" s="21"/>
      <c r="T514" s="21"/>
      <c r="V514" s="21"/>
      <c r="Y514" s="21"/>
    </row>
    <row r="515" spans="14:25" x14ac:dyDescent="0.2">
      <c r="N515" s="21"/>
      <c r="Q515" s="21"/>
      <c r="T515" s="21"/>
      <c r="V515" s="21"/>
      <c r="Y515" s="21"/>
    </row>
    <row r="516" spans="14:25" x14ac:dyDescent="0.2">
      <c r="N516" s="21"/>
      <c r="Q516" s="21"/>
      <c r="T516" s="21"/>
      <c r="V516" s="21"/>
      <c r="Y516" s="21"/>
    </row>
    <row r="517" spans="14:25" x14ac:dyDescent="0.2">
      <c r="N517" s="21"/>
      <c r="Q517" s="21"/>
      <c r="T517" s="21"/>
      <c r="V517" s="21"/>
      <c r="Y517" s="21"/>
    </row>
    <row r="518" spans="14:25" x14ac:dyDescent="0.2">
      <c r="N518" s="21"/>
      <c r="Q518" s="21"/>
      <c r="T518" s="21"/>
      <c r="V518" s="21"/>
      <c r="Y518" s="21"/>
    </row>
    <row r="519" spans="14:25" x14ac:dyDescent="0.2">
      <c r="N519" s="21"/>
      <c r="Q519" s="21"/>
      <c r="T519" s="21"/>
      <c r="V519" s="21"/>
      <c r="Y519" s="21"/>
    </row>
    <row r="520" spans="14:25" x14ac:dyDescent="0.2">
      <c r="N520" s="21"/>
      <c r="Q520" s="21"/>
      <c r="T520" s="21"/>
      <c r="V520" s="21"/>
      <c r="Y520" s="21"/>
    </row>
    <row r="521" spans="14:25" x14ac:dyDescent="0.2">
      <c r="N521" s="21"/>
      <c r="Q521" s="21"/>
      <c r="T521" s="21"/>
      <c r="V521" s="21"/>
      <c r="Y521" s="21"/>
    </row>
    <row r="522" spans="14:25" x14ac:dyDescent="0.2">
      <c r="N522" s="21"/>
      <c r="Q522" s="21"/>
      <c r="T522" s="21"/>
      <c r="V522" s="21"/>
      <c r="Y522" s="21"/>
    </row>
    <row r="523" spans="14:25" x14ac:dyDescent="0.2">
      <c r="N523" s="21"/>
      <c r="Q523" s="21"/>
      <c r="T523" s="21"/>
      <c r="V523" s="21"/>
      <c r="Y523" s="21"/>
    </row>
    <row r="524" spans="14:25" x14ac:dyDescent="0.2">
      <c r="N524" s="21"/>
      <c r="Q524" s="21"/>
      <c r="T524" s="21"/>
      <c r="V524" s="21"/>
      <c r="Y524" s="21"/>
    </row>
    <row r="525" spans="14:25" x14ac:dyDescent="0.2">
      <c r="N525" s="21"/>
      <c r="Q525" s="21"/>
      <c r="T525" s="21"/>
      <c r="V525" s="21"/>
      <c r="Y525" s="21"/>
    </row>
    <row r="526" spans="14:25" x14ac:dyDescent="0.2">
      <c r="N526" s="21"/>
      <c r="Q526" s="21"/>
      <c r="T526" s="21"/>
      <c r="V526" s="21"/>
      <c r="Y526" s="21"/>
    </row>
    <row r="527" spans="14:25" x14ac:dyDescent="0.2">
      <c r="N527" s="21"/>
      <c r="Q527" s="21"/>
      <c r="T527" s="21"/>
      <c r="V527" s="21"/>
      <c r="Y527" s="21"/>
    </row>
    <row r="528" spans="14:25" x14ac:dyDescent="0.2">
      <c r="N528" s="21"/>
      <c r="Q528" s="21"/>
      <c r="T528" s="21"/>
      <c r="V528" s="21"/>
      <c r="Y528" s="21"/>
    </row>
    <row r="529" spans="14:25" x14ac:dyDescent="0.2">
      <c r="N529" s="21"/>
      <c r="Q529" s="21"/>
      <c r="T529" s="21"/>
      <c r="V529" s="21"/>
      <c r="Y529" s="21"/>
    </row>
    <row r="530" spans="14:25" x14ac:dyDescent="0.2">
      <c r="N530" s="21"/>
      <c r="Q530" s="21"/>
      <c r="T530" s="21"/>
      <c r="V530" s="21"/>
      <c r="Y530" s="21"/>
    </row>
    <row r="531" spans="14:25" x14ac:dyDescent="0.2">
      <c r="N531" s="21"/>
      <c r="Q531" s="21"/>
      <c r="T531" s="21"/>
      <c r="V531" s="21"/>
      <c r="Y531" s="21"/>
    </row>
    <row r="532" spans="14:25" x14ac:dyDescent="0.2">
      <c r="N532" s="21"/>
      <c r="Q532" s="21"/>
      <c r="T532" s="21"/>
      <c r="V532" s="21"/>
      <c r="Y532" s="21"/>
    </row>
    <row r="533" spans="14:25" x14ac:dyDescent="0.2">
      <c r="N533" s="21"/>
      <c r="Q533" s="21"/>
      <c r="T533" s="21"/>
      <c r="V533" s="21"/>
      <c r="Y533" s="21"/>
    </row>
    <row r="534" spans="14:25" x14ac:dyDescent="0.2">
      <c r="N534" s="21"/>
      <c r="Q534" s="21"/>
      <c r="T534" s="21"/>
      <c r="V534" s="21"/>
      <c r="Y534" s="21"/>
    </row>
    <row r="535" spans="14:25" x14ac:dyDescent="0.2">
      <c r="N535" s="21"/>
      <c r="Q535" s="21"/>
      <c r="T535" s="21"/>
      <c r="V535" s="21"/>
      <c r="Y535" s="21"/>
    </row>
    <row r="536" spans="14:25" x14ac:dyDescent="0.2">
      <c r="N536" s="21"/>
      <c r="Q536" s="21"/>
      <c r="T536" s="21"/>
      <c r="V536" s="21"/>
      <c r="Y536" s="21"/>
    </row>
    <row r="537" spans="14:25" x14ac:dyDescent="0.2">
      <c r="N537" s="21"/>
      <c r="Q537" s="21"/>
      <c r="T537" s="21"/>
      <c r="V537" s="21"/>
      <c r="Y537" s="21"/>
    </row>
    <row r="538" spans="14:25" x14ac:dyDescent="0.2">
      <c r="N538" s="21"/>
      <c r="Q538" s="21"/>
      <c r="T538" s="21"/>
      <c r="V538" s="21"/>
      <c r="Y538" s="21"/>
    </row>
    <row r="539" spans="14:25" x14ac:dyDescent="0.2">
      <c r="N539" s="21"/>
      <c r="Q539" s="21"/>
      <c r="T539" s="21"/>
      <c r="V539" s="21"/>
      <c r="Y539" s="21"/>
    </row>
    <row r="540" spans="14:25" x14ac:dyDescent="0.2">
      <c r="N540" s="21"/>
      <c r="Q540" s="21"/>
      <c r="T540" s="21"/>
      <c r="V540" s="21"/>
      <c r="Y540" s="21"/>
    </row>
    <row r="541" spans="14:25" x14ac:dyDescent="0.2">
      <c r="N541" s="21"/>
      <c r="Q541" s="21"/>
      <c r="T541" s="21"/>
      <c r="V541" s="21"/>
      <c r="Y541" s="21"/>
    </row>
    <row r="542" spans="14:25" x14ac:dyDescent="0.2">
      <c r="N542" s="21"/>
      <c r="Q542" s="21"/>
      <c r="T542" s="21"/>
      <c r="V542" s="21"/>
      <c r="Y542" s="21"/>
    </row>
    <row r="543" spans="14:25" x14ac:dyDescent="0.2">
      <c r="N543" s="21"/>
      <c r="Q543" s="21"/>
      <c r="T543" s="21"/>
      <c r="V543" s="21"/>
      <c r="Y543" s="21"/>
    </row>
    <row r="544" spans="14:25" x14ac:dyDescent="0.2">
      <c r="N544" s="21"/>
      <c r="Q544" s="21"/>
      <c r="T544" s="21"/>
      <c r="V544" s="21"/>
      <c r="Y544" s="21"/>
    </row>
    <row r="545" spans="14:25" x14ac:dyDescent="0.2">
      <c r="N545" s="21"/>
      <c r="Q545" s="21"/>
      <c r="T545" s="21"/>
      <c r="V545" s="21"/>
      <c r="Y545" s="21"/>
    </row>
    <row r="546" spans="14:25" x14ac:dyDescent="0.2">
      <c r="N546" s="21"/>
      <c r="Q546" s="21"/>
      <c r="T546" s="21"/>
      <c r="V546" s="21"/>
      <c r="Y546" s="21"/>
    </row>
    <row r="547" spans="14:25" x14ac:dyDescent="0.2">
      <c r="N547" s="21"/>
      <c r="Q547" s="21"/>
      <c r="T547" s="21"/>
      <c r="V547" s="21"/>
      <c r="Y547" s="21"/>
    </row>
    <row r="548" spans="14:25" x14ac:dyDescent="0.2">
      <c r="N548" s="21"/>
      <c r="Q548" s="21"/>
      <c r="T548" s="21"/>
      <c r="V548" s="21"/>
      <c r="Y548" s="21"/>
    </row>
    <row r="549" spans="14:25" x14ac:dyDescent="0.2">
      <c r="N549" s="21"/>
      <c r="Q549" s="21"/>
      <c r="T549" s="21"/>
      <c r="V549" s="21"/>
      <c r="Y549" s="21"/>
    </row>
    <row r="550" spans="14:25" x14ac:dyDescent="0.2">
      <c r="N550" s="21"/>
      <c r="Q550" s="21"/>
      <c r="T550" s="21"/>
      <c r="V550" s="21"/>
      <c r="Y550" s="21"/>
    </row>
    <row r="551" spans="14:25" x14ac:dyDescent="0.2">
      <c r="N551" s="21"/>
      <c r="Q551" s="21"/>
      <c r="T551" s="21"/>
      <c r="V551" s="21"/>
      <c r="Y551" s="21"/>
    </row>
    <row r="552" spans="14:25" x14ac:dyDescent="0.2">
      <c r="N552" s="21"/>
      <c r="Q552" s="21"/>
      <c r="T552" s="21"/>
      <c r="V552" s="21"/>
      <c r="Y552" s="21"/>
    </row>
    <row r="553" spans="14:25" x14ac:dyDescent="0.2">
      <c r="N553" s="21"/>
      <c r="Q553" s="21"/>
      <c r="T553" s="21"/>
      <c r="V553" s="21"/>
      <c r="Y553" s="21"/>
    </row>
    <row r="554" spans="14:25" x14ac:dyDescent="0.2">
      <c r="N554" s="21"/>
      <c r="Q554" s="21"/>
      <c r="T554" s="21"/>
      <c r="V554" s="21"/>
      <c r="Y554" s="21"/>
    </row>
    <row r="555" spans="14:25" x14ac:dyDescent="0.2">
      <c r="N555" s="21"/>
      <c r="Q555" s="21"/>
      <c r="T555" s="21"/>
      <c r="V555" s="21"/>
      <c r="Y555" s="21"/>
    </row>
    <row r="556" spans="14:25" x14ac:dyDescent="0.2">
      <c r="N556" s="21"/>
      <c r="Q556" s="21"/>
      <c r="T556" s="21"/>
      <c r="V556" s="21"/>
      <c r="Y556" s="21"/>
    </row>
    <row r="557" spans="14:25" x14ac:dyDescent="0.2">
      <c r="N557" s="21"/>
      <c r="Q557" s="21"/>
      <c r="T557" s="21"/>
      <c r="V557" s="21"/>
      <c r="Y557" s="21"/>
    </row>
    <row r="558" spans="14:25" x14ac:dyDescent="0.2">
      <c r="N558" s="21"/>
      <c r="Q558" s="21"/>
      <c r="T558" s="21"/>
      <c r="V558" s="21"/>
      <c r="Y558" s="21"/>
    </row>
    <row r="559" spans="14:25" x14ac:dyDescent="0.2">
      <c r="N559" s="21"/>
      <c r="Q559" s="21"/>
      <c r="T559" s="21"/>
      <c r="V559" s="21"/>
      <c r="Y559" s="21"/>
    </row>
    <row r="560" spans="14:25" x14ac:dyDescent="0.2">
      <c r="N560" s="21"/>
      <c r="Q560" s="21"/>
      <c r="T560" s="21"/>
      <c r="V560" s="21"/>
      <c r="Y560" s="21"/>
    </row>
    <row r="561" spans="14:25" x14ac:dyDescent="0.2">
      <c r="N561" s="21"/>
      <c r="Q561" s="21"/>
      <c r="T561" s="21"/>
      <c r="V561" s="21"/>
      <c r="Y561" s="21"/>
    </row>
    <row r="562" spans="14:25" x14ac:dyDescent="0.2">
      <c r="N562" s="21"/>
      <c r="Q562" s="21"/>
      <c r="T562" s="21"/>
      <c r="V562" s="21"/>
      <c r="Y562" s="21"/>
    </row>
    <row r="563" spans="14:25" x14ac:dyDescent="0.2">
      <c r="N563" s="21"/>
      <c r="Q563" s="21"/>
      <c r="T563" s="21"/>
      <c r="V563" s="21"/>
      <c r="Y563" s="21"/>
    </row>
    <row r="564" spans="14:25" x14ac:dyDescent="0.2">
      <c r="N564" s="21"/>
      <c r="Q564" s="21"/>
      <c r="T564" s="21"/>
      <c r="V564" s="21"/>
      <c r="Y564" s="21"/>
    </row>
    <row r="565" spans="14:25" x14ac:dyDescent="0.2">
      <c r="N565" s="21"/>
      <c r="Q565" s="21"/>
      <c r="T565" s="21"/>
      <c r="V565" s="21"/>
      <c r="Y565" s="21"/>
    </row>
    <row r="566" spans="14:25" x14ac:dyDescent="0.2">
      <c r="N566" s="21"/>
      <c r="Q566" s="21"/>
      <c r="T566" s="21"/>
      <c r="V566" s="21"/>
      <c r="Y566" s="21"/>
    </row>
    <row r="567" spans="14:25" x14ac:dyDescent="0.2">
      <c r="N567" s="21"/>
      <c r="Q567" s="21"/>
      <c r="T567" s="21"/>
      <c r="V567" s="21"/>
      <c r="Y567" s="21"/>
    </row>
    <row r="568" spans="14:25" x14ac:dyDescent="0.2">
      <c r="N568" s="21"/>
      <c r="Q568" s="21"/>
      <c r="T568" s="21"/>
      <c r="V568" s="21"/>
      <c r="Y568" s="21"/>
    </row>
    <row r="569" spans="14:25" x14ac:dyDescent="0.2">
      <c r="N569" s="21"/>
      <c r="Q569" s="21"/>
      <c r="T569" s="21"/>
      <c r="V569" s="21"/>
      <c r="Y569" s="21"/>
    </row>
    <row r="570" spans="14:25" x14ac:dyDescent="0.2">
      <c r="N570" s="21"/>
      <c r="Q570" s="21"/>
      <c r="T570" s="21"/>
      <c r="V570" s="21"/>
      <c r="Y570" s="21"/>
    </row>
    <row r="571" spans="14:25" x14ac:dyDescent="0.2">
      <c r="N571" s="21"/>
      <c r="Q571" s="21"/>
      <c r="T571" s="21"/>
      <c r="V571" s="21"/>
      <c r="Y571" s="21"/>
    </row>
    <row r="572" spans="14:25" x14ac:dyDescent="0.2">
      <c r="N572" s="21"/>
      <c r="Q572" s="21"/>
      <c r="T572" s="21"/>
      <c r="V572" s="21"/>
      <c r="Y572" s="21"/>
    </row>
    <row r="573" spans="14:25" x14ac:dyDescent="0.2">
      <c r="N573" s="21"/>
      <c r="Q573" s="21"/>
      <c r="T573" s="21"/>
      <c r="V573" s="21"/>
      <c r="Y573" s="21"/>
    </row>
    <row r="574" spans="14:25" x14ac:dyDescent="0.2">
      <c r="N574" s="21"/>
      <c r="Q574" s="21"/>
      <c r="T574" s="21"/>
      <c r="V574" s="21"/>
      <c r="Y574" s="21"/>
    </row>
    <row r="575" spans="14:25" x14ac:dyDescent="0.2">
      <c r="N575" s="21"/>
      <c r="Q575" s="21"/>
      <c r="T575" s="21"/>
      <c r="V575" s="21"/>
      <c r="Y575" s="21"/>
    </row>
    <row r="576" spans="14:25" x14ac:dyDescent="0.2">
      <c r="N576" s="21"/>
      <c r="Q576" s="21"/>
      <c r="T576" s="21"/>
      <c r="V576" s="21"/>
      <c r="Y576" s="21"/>
    </row>
    <row r="577" spans="14:25" x14ac:dyDescent="0.2">
      <c r="N577" s="21"/>
      <c r="Q577" s="21"/>
      <c r="T577" s="21"/>
      <c r="V577" s="21"/>
      <c r="Y577" s="21"/>
    </row>
    <row r="578" spans="14:25" x14ac:dyDescent="0.2">
      <c r="N578" s="21"/>
      <c r="Q578" s="21"/>
      <c r="T578" s="21"/>
      <c r="V578" s="21"/>
      <c r="Y578" s="21"/>
    </row>
    <row r="579" spans="14:25" x14ac:dyDescent="0.2">
      <c r="N579" s="21"/>
      <c r="Q579" s="21"/>
      <c r="T579" s="21"/>
      <c r="V579" s="21"/>
      <c r="Y579" s="21"/>
    </row>
    <row r="580" spans="14:25" x14ac:dyDescent="0.2">
      <c r="N580" s="21"/>
      <c r="Q580" s="21"/>
      <c r="T580" s="21"/>
      <c r="V580" s="21"/>
      <c r="Y580" s="21"/>
    </row>
    <row r="581" spans="14:25" x14ac:dyDescent="0.2">
      <c r="N581" s="21"/>
      <c r="Q581" s="21"/>
      <c r="T581" s="21"/>
      <c r="V581" s="21"/>
      <c r="Y581" s="21"/>
    </row>
    <row r="582" spans="14:25" x14ac:dyDescent="0.2">
      <c r="N582" s="21"/>
      <c r="Q582" s="21"/>
      <c r="T582" s="21"/>
      <c r="V582" s="21"/>
      <c r="Y582" s="21"/>
    </row>
    <row r="583" spans="14:25" x14ac:dyDescent="0.2">
      <c r="N583" s="21"/>
      <c r="Q583" s="21"/>
      <c r="T583" s="21"/>
      <c r="V583" s="21"/>
      <c r="Y583" s="21"/>
    </row>
    <row r="584" spans="14:25" x14ac:dyDescent="0.2">
      <c r="N584" s="21"/>
      <c r="Q584" s="21"/>
      <c r="T584" s="21"/>
      <c r="V584" s="21"/>
      <c r="Y584" s="21"/>
    </row>
    <row r="585" spans="14:25" x14ac:dyDescent="0.2">
      <c r="N585" s="21"/>
      <c r="Q585" s="21"/>
      <c r="T585" s="21"/>
      <c r="V585" s="21"/>
      <c r="Y585" s="21"/>
    </row>
    <row r="586" spans="14:25" x14ac:dyDescent="0.2">
      <c r="N586" s="21"/>
      <c r="Q586" s="21"/>
      <c r="T586" s="21"/>
      <c r="V586" s="21"/>
      <c r="Y586" s="21"/>
    </row>
    <row r="587" spans="14:25" x14ac:dyDescent="0.2">
      <c r="N587" s="21"/>
      <c r="Q587" s="21"/>
      <c r="T587" s="21"/>
      <c r="V587" s="21"/>
      <c r="Y587" s="21"/>
    </row>
    <row r="588" spans="14:25" x14ac:dyDescent="0.2">
      <c r="N588" s="21"/>
      <c r="Q588" s="21"/>
      <c r="T588" s="21"/>
      <c r="V588" s="21"/>
      <c r="Y588" s="21"/>
    </row>
    <row r="589" spans="14:25" x14ac:dyDescent="0.2">
      <c r="N589" s="21"/>
      <c r="Q589" s="21"/>
      <c r="T589" s="21"/>
      <c r="V589" s="21"/>
      <c r="Y589" s="21"/>
    </row>
    <row r="590" spans="14:25" x14ac:dyDescent="0.2">
      <c r="N590" s="21"/>
      <c r="Q590" s="21"/>
      <c r="T590" s="21"/>
      <c r="V590" s="21"/>
      <c r="Y590" s="21"/>
    </row>
    <row r="591" spans="14:25" x14ac:dyDescent="0.2">
      <c r="N591" s="21"/>
      <c r="Q591" s="21"/>
      <c r="T591" s="21"/>
      <c r="V591" s="21"/>
      <c r="Y591" s="21"/>
    </row>
    <row r="592" spans="14:25" x14ac:dyDescent="0.2">
      <c r="N592" s="21"/>
      <c r="Q592" s="21"/>
      <c r="T592" s="21"/>
      <c r="V592" s="21"/>
      <c r="Y592" s="21"/>
    </row>
    <row r="593" spans="14:25" x14ac:dyDescent="0.2">
      <c r="N593" s="21"/>
      <c r="Q593" s="21"/>
      <c r="T593" s="21"/>
      <c r="V593" s="21"/>
      <c r="Y593" s="21"/>
    </row>
    <row r="594" spans="14:25" x14ac:dyDescent="0.2">
      <c r="N594" s="21"/>
      <c r="Q594" s="21"/>
      <c r="T594" s="21"/>
      <c r="V594" s="21"/>
      <c r="Y594" s="21"/>
    </row>
    <row r="595" spans="14:25" x14ac:dyDescent="0.2">
      <c r="N595" s="21"/>
      <c r="Q595" s="21"/>
      <c r="T595" s="21"/>
      <c r="V595" s="21"/>
      <c r="Y595" s="21"/>
    </row>
    <row r="596" spans="14:25" x14ac:dyDescent="0.2">
      <c r="N596" s="21"/>
      <c r="Q596" s="21"/>
      <c r="T596" s="21"/>
      <c r="V596" s="21"/>
      <c r="Y596" s="21"/>
    </row>
    <row r="597" spans="14:25" x14ac:dyDescent="0.2">
      <c r="N597" s="21"/>
      <c r="Q597" s="21"/>
      <c r="T597" s="21"/>
      <c r="V597" s="21"/>
      <c r="Y597" s="21"/>
    </row>
    <row r="598" spans="14:25" x14ac:dyDescent="0.2">
      <c r="N598" s="21"/>
      <c r="Q598" s="21"/>
      <c r="T598" s="21"/>
      <c r="V598" s="21"/>
      <c r="Y598" s="21"/>
    </row>
    <row r="599" spans="14:25" x14ac:dyDescent="0.2">
      <c r="N599" s="21"/>
      <c r="Q599" s="21"/>
      <c r="T599" s="21"/>
      <c r="V599" s="21"/>
      <c r="Y599" s="21"/>
    </row>
    <row r="600" spans="14:25" x14ac:dyDescent="0.2">
      <c r="N600" s="21"/>
      <c r="Q600" s="21"/>
      <c r="T600" s="21"/>
      <c r="V600" s="21"/>
      <c r="Y600" s="21"/>
    </row>
    <row r="601" spans="14:25" x14ac:dyDescent="0.2">
      <c r="N601" s="21"/>
      <c r="Q601" s="21"/>
      <c r="T601" s="21"/>
      <c r="V601" s="21"/>
      <c r="Y601" s="21"/>
    </row>
    <row r="602" spans="14:25" x14ac:dyDescent="0.2">
      <c r="N602" s="21"/>
      <c r="Q602" s="21"/>
      <c r="T602" s="21"/>
      <c r="V602" s="21"/>
      <c r="Y602" s="21"/>
    </row>
    <row r="603" spans="14:25" x14ac:dyDescent="0.2">
      <c r="N603" s="21"/>
      <c r="Q603" s="21"/>
      <c r="T603" s="21"/>
      <c r="V603" s="21"/>
      <c r="Y603" s="21"/>
    </row>
    <row r="604" spans="14:25" x14ac:dyDescent="0.2">
      <c r="N604" s="21"/>
      <c r="Q604" s="21"/>
      <c r="T604" s="21"/>
      <c r="V604" s="21"/>
      <c r="Y604" s="21"/>
    </row>
    <row r="605" spans="14:25" x14ac:dyDescent="0.2">
      <c r="N605" s="21"/>
      <c r="Q605" s="21"/>
      <c r="T605" s="21"/>
      <c r="V605" s="21"/>
      <c r="Y605" s="21"/>
    </row>
    <row r="606" spans="14:25" x14ac:dyDescent="0.2">
      <c r="N606" s="21"/>
      <c r="Q606" s="21"/>
      <c r="T606" s="21"/>
      <c r="V606" s="21"/>
      <c r="Y606" s="21"/>
    </row>
    <row r="607" spans="14:25" x14ac:dyDescent="0.2">
      <c r="N607" s="21"/>
      <c r="Q607" s="21"/>
      <c r="T607" s="21"/>
      <c r="V607" s="21"/>
      <c r="Y607" s="21"/>
    </row>
    <row r="608" spans="14:25" x14ac:dyDescent="0.2">
      <c r="N608" s="21"/>
      <c r="Q608" s="21"/>
      <c r="T608" s="21"/>
      <c r="V608" s="21"/>
      <c r="Y608" s="21"/>
    </row>
    <row r="609" spans="14:25" x14ac:dyDescent="0.2">
      <c r="N609" s="21"/>
      <c r="Q609" s="21"/>
      <c r="T609" s="21"/>
      <c r="V609" s="21"/>
      <c r="Y609" s="21"/>
    </row>
    <row r="610" spans="14:25" x14ac:dyDescent="0.2">
      <c r="N610" s="21"/>
      <c r="Q610" s="21"/>
      <c r="T610" s="21"/>
      <c r="V610" s="21"/>
      <c r="Y610" s="21"/>
    </row>
    <row r="611" spans="14:25" x14ac:dyDescent="0.2">
      <c r="N611" s="21"/>
      <c r="Q611" s="21"/>
      <c r="T611" s="21"/>
      <c r="V611" s="21"/>
      <c r="Y611" s="21"/>
    </row>
    <row r="612" spans="14:25" x14ac:dyDescent="0.2">
      <c r="N612" s="21"/>
      <c r="Q612" s="21"/>
      <c r="T612" s="21"/>
      <c r="V612" s="21"/>
      <c r="Y612" s="21"/>
    </row>
    <row r="613" spans="14:25" x14ac:dyDescent="0.2">
      <c r="N613" s="21"/>
      <c r="Q613" s="21"/>
      <c r="T613" s="21"/>
      <c r="V613" s="21"/>
      <c r="Y613" s="21"/>
    </row>
    <row r="614" spans="14:25" x14ac:dyDescent="0.2">
      <c r="N614" s="21"/>
      <c r="Q614" s="21"/>
      <c r="T614" s="21"/>
      <c r="V614" s="21"/>
      <c r="Y614" s="21"/>
    </row>
    <row r="615" spans="14:25" x14ac:dyDescent="0.2">
      <c r="N615" s="21"/>
      <c r="Q615" s="21"/>
      <c r="T615" s="21"/>
      <c r="V615" s="21"/>
      <c r="Y615" s="21"/>
    </row>
    <row r="616" spans="14:25" x14ac:dyDescent="0.2">
      <c r="N616" s="21"/>
      <c r="Q616" s="21"/>
      <c r="T616" s="21"/>
      <c r="V616" s="21"/>
      <c r="Y616" s="21"/>
    </row>
    <row r="617" spans="14:25" x14ac:dyDescent="0.2">
      <c r="N617" s="21"/>
      <c r="Q617" s="21"/>
      <c r="T617" s="21"/>
      <c r="V617" s="21"/>
      <c r="Y617" s="21"/>
    </row>
    <row r="618" spans="14:25" x14ac:dyDescent="0.2">
      <c r="N618" s="21"/>
      <c r="Q618" s="21"/>
      <c r="T618" s="21"/>
      <c r="V618" s="21"/>
      <c r="Y618" s="21"/>
    </row>
    <row r="619" spans="14:25" x14ac:dyDescent="0.2">
      <c r="N619" s="21"/>
      <c r="Q619" s="21"/>
      <c r="T619" s="21"/>
      <c r="V619" s="21"/>
      <c r="Y619" s="21"/>
    </row>
    <row r="620" spans="14:25" x14ac:dyDescent="0.2">
      <c r="N620" s="21"/>
      <c r="Q620" s="21"/>
      <c r="T620" s="21"/>
      <c r="V620" s="21"/>
      <c r="Y620" s="21"/>
    </row>
    <row r="621" spans="14:25" x14ac:dyDescent="0.2">
      <c r="N621" s="21"/>
      <c r="Q621" s="21"/>
      <c r="T621" s="21"/>
      <c r="V621" s="21"/>
      <c r="Y621" s="21"/>
    </row>
    <row r="622" spans="14:25" x14ac:dyDescent="0.2">
      <c r="N622" s="21"/>
      <c r="Q622" s="21"/>
      <c r="T622" s="21"/>
      <c r="V622" s="21"/>
      <c r="Y622" s="21"/>
    </row>
    <row r="623" spans="14:25" x14ac:dyDescent="0.2">
      <c r="N623" s="21"/>
      <c r="Q623" s="21"/>
      <c r="T623" s="21"/>
      <c r="V623" s="21"/>
      <c r="Y623" s="21"/>
    </row>
    <row r="624" spans="14:25" x14ac:dyDescent="0.2">
      <c r="N624" s="21"/>
      <c r="Q624" s="21"/>
      <c r="T624" s="21"/>
      <c r="V624" s="21"/>
      <c r="Y624" s="21"/>
    </row>
    <row r="625" spans="14:25" x14ac:dyDescent="0.2">
      <c r="N625" s="21"/>
      <c r="Q625" s="21"/>
      <c r="T625" s="21"/>
      <c r="V625" s="21"/>
      <c r="Y625" s="21"/>
    </row>
    <row r="626" spans="14:25" x14ac:dyDescent="0.2">
      <c r="N626" s="21"/>
      <c r="Q626" s="21"/>
      <c r="T626" s="21"/>
      <c r="V626" s="21"/>
      <c r="Y626" s="21"/>
    </row>
    <row r="627" spans="14:25" x14ac:dyDescent="0.2">
      <c r="N627" s="21"/>
      <c r="Q627" s="21"/>
      <c r="T627" s="21"/>
      <c r="V627" s="21"/>
      <c r="Y627" s="21"/>
    </row>
    <row r="628" spans="14:25" x14ac:dyDescent="0.2">
      <c r="N628" s="21"/>
      <c r="Q628" s="21"/>
      <c r="T628" s="21"/>
      <c r="V628" s="21"/>
      <c r="Y628" s="21"/>
    </row>
    <row r="629" spans="14:25" x14ac:dyDescent="0.2">
      <c r="N629" s="21"/>
      <c r="Q629" s="21"/>
      <c r="T629" s="21"/>
      <c r="V629" s="21"/>
      <c r="Y629" s="21"/>
    </row>
    <row r="630" spans="14:25" x14ac:dyDescent="0.2">
      <c r="N630" s="21"/>
      <c r="Q630" s="21"/>
      <c r="T630" s="21"/>
      <c r="V630" s="21"/>
      <c r="Y630" s="21"/>
    </row>
    <row r="631" spans="14:25" x14ac:dyDescent="0.2">
      <c r="N631" s="21"/>
      <c r="Q631" s="21"/>
      <c r="T631" s="21"/>
      <c r="V631" s="21"/>
      <c r="Y631" s="21"/>
    </row>
    <row r="632" spans="14:25" x14ac:dyDescent="0.2">
      <c r="N632" s="21"/>
      <c r="Q632" s="21"/>
      <c r="T632" s="21"/>
      <c r="V632" s="21"/>
      <c r="Y632" s="21"/>
    </row>
    <row r="633" spans="14:25" x14ac:dyDescent="0.2">
      <c r="N633" s="21"/>
      <c r="Q633" s="21"/>
      <c r="T633" s="21"/>
      <c r="V633" s="21"/>
      <c r="Y633" s="21"/>
    </row>
    <row r="634" spans="14:25" x14ac:dyDescent="0.2">
      <c r="N634" s="21"/>
      <c r="Q634" s="21"/>
      <c r="T634" s="21"/>
      <c r="V634" s="21"/>
      <c r="Y634" s="21"/>
    </row>
    <row r="635" spans="14:25" x14ac:dyDescent="0.2">
      <c r="N635" s="21"/>
      <c r="Q635" s="21"/>
      <c r="T635" s="21"/>
      <c r="V635" s="21"/>
      <c r="Y635" s="21"/>
    </row>
    <row r="636" spans="14:25" x14ac:dyDescent="0.2">
      <c r="N636" s="21"/>
      <c r="Q636" s="21"/>
      <c r="T636" s="21"/>
      <c r="V636" s="21"/>
      <c r="Y636" s="21"/>
    </row>
    <row r="637" spans="14:25" x14ac:dyDescent="0.2">
      <c r="N637" s="21"/>
      <c r="Q637" s="21"/>
      <c r="T637" s="21"/>
      <c r="V637" s="21"/>
      <c r="Y637" s="21"/>
    </row>
    <row r="638" spans="14:25" x14ac:dyDescent="0.2">
      <c r="N638" s="21"/>
      <c r="Q638" s="21"/>
      <c r="T638" s="21"/>
      <c r="V638" s="21"/>
      <c r="Y638" s="21"/>
    </row>
    <row r="639" spans="14:25" x14ac:dyDescent="0.2">
      <c r="N639" s="21"/>
      <c r="Q639" s="21"/>
      <c r="T639" s="21"/>
      <c r="V639" s="21"/>
      <c r="Y639" s="21"/>
    </row>
    <row r="640" spans="14:25" x14ac:dyDescent="0.2">
      <c r="N640" s="21"/>
      <c r="Q640" s="21"/>
      <c r="T640" s="21"/>
      <c r="V640" s="21"/>
      <c r="Y640" s="21"/>
    </row>
    <row r="641" spans="14:25" x14ac:dyDescent="0.2">
      <c r="N641" s="21"/>
      <c r="Q641" s="21"/>
      <c r="T641" s="21"/>
      <c r="V641" s="21"/>
      <c r="Y641" s="21"/>
    </row>
    <row r="642" spans="14:25" x14ac:dyDescent="0.2">
      <c r="N642" s="21"/>
      <c r="Q642" s="21"/>
      <c r="T642" s="21"/>
      <c r="V642" s="21"/>
      <c r="Y642" s="21"/>
    </row>
    <row r="643" spans="14:25" x14ac:dyDescent="0.2">
      <c r="N643" s="21"/>
      <c r="Q643" s="21"/>
      <c r="T643" s="21"/>
      <c r="V643" s="21"/>
      <c r="Y643" s="21"/>
    </row>
    <row r="644" spans="14:25" x14ac:dyDescent="0.2">
      <c r="N644" s="21"/>
      <c r="Q644" s="21"/>
      <c r="T644" s="21"/>
      <c r="V644" s="21"/>
      <c r="Y644" s="21"/>
    </row>
    <row r="645" spans="14:25" x14ac:dyDescent="0.2">
      <c r="N645" s="21"/>
      <c r="Q645" s="21"/>
      <c r="T645" s="21"/>
      <c r="V645" s="21"/>
      <c r="Y645" s="21"/>
    </row>
    <row r="646" spans="14:25" x14ac:dyDescent="0.2">
      <c r="N646" s="21"/>
      <c r="Q646" s="21"/>
      <c r="T646" s="21"/>
      <c r="V646" s="21"/>
      <c r="Y646" s="21"/>
    </row>
    <row r="647" spans="14:25" x14ac:dyDescent="0.2">
      <c r="N647" s="21"/>
      <c r="Q647" s="21"/>
      <c r="T647" s="21"/>
      <c r="V647" s="21"/>
      <c r="Y647" s="21"/>
    </row>
    <row r="648" spans="14:25" x14ac:dyDescent="0.2">
      <c r="N648" s="21"/>
      <c r="Q648" s="21"/>
      <c r="T648" s="21"/>
      <c r="V648" s="21"/>
      <c r="Y648" s="21"/>
    </row>
    <row r="649" spans="14:25" x14ac:dyDescent="0.2">
      <c r="N649" s="21"/>
      <c r="Q649" s="21"/>
      <c r="T649" s="21"/>
      <c r="V649" s="21"/>
      <c r="Y649" s="21"/>
    </row>
    <row r="650" spans="14:25" x14ac:dyDescent="0.2">
      <c r="N650" s="21"/>
      <c r="Q650" s="21"/>
      <c r="T650" s="21"/>
      <c r="V650" s="21"/>
      <c r="Y650" s="21"/>
    </row>
    <row r="651" spans="14:25" x14ac:dyDescent="0.2">
      <c r="N651" s="21"/>
      <c r="Q651" s="21"/>
      <c r="T651" s="21"/>
      <c r="V651" s="21"/>
      <c r="Y651" s="21"/>
    </row>
    <row r="652" spans="14:25" x14ac:dyDescent="0.2">
      <c r="N652" s="21"/>
      <c r="Q652" s="21"/>
      <c r="T652" s="21"/>
      <c r="V652" s="21"/>
      <c r="Y652" s="21"/>
    </row>
    <row r="653" spans="14:25" x14ac:dyDescent="0.2">
      <c r="N653" s="21"/>
      <c r="Q653" s="21"/>
      <c r="T653" s="21"/>
      <c r="V653" s="21"/>
      <c r="Y653" s="21"/>
    </row>
    <row r="654" spans="14:25" x14ac:dyDescent="0.2">
      <c r="N654" s="21"/>
      <c r="Q654" s="21"/>
      <c r="T654" s="21"/>
      <c r="V654" s="21"/>
      <c r="Y654" s="21"/>
    </row>
    <row r="655" spans="14:25" x14ac:dyDescent="0.2">
      <c r="N655" s="21"/>
      <c r="Q655" s="21"/>
      <c r="T655" s="21"/>
      <c r="V655" s="21"/>
      <c r="Y655" s="21"/>
    </row>
    <row r="656" spans="14:25" x14ac:dyDescent="0.2">
      <c r="N656" s="21"/>
      <c r="Q656" s="21"/>
      <c r="T656" s="21"/>
      <c r="V656" s="21"/>
      <c r="Y656" s="21"/>
    </row>
    <row r="657" spans="14:25" x14ac:dyDescent="0.2">
      <c r="N657" s="21"/>
      <c r="Q657" s="21"/>
      <c r="T657" s="21"/>
      <c r="V657" s="21"/>
      <c r="Y657" s="21"/>
    </row>
    <row r="658" spans="14:25" x14ac:dyDescent="0.2">
      <c r="N658" s="21"/>
      <c r="Q658" s="21"/>
      <c r="T658" s="21"/>
      <c r="V658" s="21"/>
      <c r="Y658" s="21"/>
    </row>
    <row r="659" spans="14:25" x14ac:dyDescent="0.2">
      <c r="N659" s="21"/>
      <c r="Q659" s="21"/>
      <c r="T659" s="21"/>
      <c r="V659" s="21"/>
      <c r="Y659" s="21"/>
    </row>
    <row r="660" spans="14:25" x14ac:dyDescent="0.2">
      <c r="N660" s="21"/>
      <c r="Q660" s="21"/>
      <c r="T660" s="21"/>
      <c r="V660" s="21"/>
      <c r="Y660" s="21"/>
    </row>
    <row r="661" spans="14:25" x14ac:dyDescent="0.2">
      <c r="N661" s="21"/>
      <c r="Q661" s="21"/>
      <c r="T661" s="21"/>
      <c r="V661" s="21"/>
      <c r="Y661" s="21"/>
    </row>
    <row r="662" spans="14:25" x14ac:dyDescent="0.2">
      <c r="N662" s="21"/>
      <c r="Q662" s="21"/>
      <c r="T662" s="21"/>
      <c r="V662" s="21"/>
      <c r="Y662" s="21"/>
    </row>
    <row r="663" spans="14:25" x14ac:dyDescent="0.2">
      <c r="N663" s="21"/>
      <c r="Q663" s="21"/>
      <c r="T663" s="21"/>
      <c r="V663" s="21"/>
      <c r="Y663" s="21"/>
    </row>
    <row r="664" spans="14:25" x14ac:dyDescent="0.2">
      <c r="N664" s="21"/>
      <c r="Q664" s="21"/>
      <c r="T664" s="21"/>
      <c r="V664" s="21"/>
      <c r="Y664" s="21"/>
    </row>
    <row r="665" spans="14:25" x14ac:dyDescent="0.2">
      <c r="N665" s="21"/>
      <c r="Q665" s="21"/>
      <c r="T665" s="21"/>
      <c r="V665" s="21"/>
      <c r="Y665" s="21"/>
    </row>
    <row r="666" spans="14:25" x14ac:dyDescent="0.2">
      <c r="N666" s="21"/>
      <c r="Q666" s="21"/>
      <c r="T666" s="21"/>
      <c r="V666" s="21"/>
      <c r="Y666" s="21"/>
    </row>
    <row r="667" spans="14:25" x14ac:dyDescent="0.2">
      <c r="N667" s="21"/>
      <c r="Q667" s="21"/>
      <c r="T667" s="21"/>
      <c r="V667" s="21"/>
      <c r="Y667" s="21"/>
    </row>
    <row r="668" spans="14:25" x14ac:dyDescent="0.2">
      <c r="N668" s="21"/>
      <c r="Q668" s="21"/>
      <c r="T668" s="21"/>
      <c r="V668" s="21"/>
      <c r="Y668" s="21"/>
    </row>
    <row r="669" spans="14:25" x14ac:dyDescent="0.2">
      <c r="N669" s="21"/>
      <c r="Q669" s="21"/>
      <c r="T669" s="21"/>
      <c r="V669" s="21"/>
      <c r="Y669" s="21"/>
    </row>
    <row r="670" spans="14:25" x14ac:dyDescent="0.2">
      <c r="N670" s="21"/>
      <c r="Q670" s="21"/>
      <c r="T670" s="21"/>
      <c r="V670" s="21"/>
      <c r="Y670" s="21"/>
    </row>
    <row r="671" spans="14:25" x14ac:dyDescent="0.2">
      <c r="N671" s="21"/>
      <c r="Q671" s="21"/>
      <c r="T671" s="21"/>
      <c r="V671" s="21"/>
      <c r="Y671" s="21"/>
    </row>
    <row r="672" spans="14:25" x14ac:dyDescent="0.2">
      <c r="N672" s="21"/>
      <c r="Q672" s="21"/>
      <c r="T672" s="21"/>
      <c r="V672" s="21"/>
      <c r="Y672" s="21"/>
    </row>
    <row r="673" spans="14:25" x14ac:dyDescent="0.2">
      <c r="N673" s="21"/>
      <c r="Q673" s="21"/>
      <c r="T673" s="21"/>
      <c r="V673" s="21"/>
      <c r="Y673" s="21"/>
    </row>
    <row r="674" spans="14:25" x14ac:dyDescent="0.2">
      <c r="N674" s="21"/>
      <c r="Q674" s="21"/>
      <c r="T674" s="21"/>
      <c r="V674" s="21"/>
      <c r="Y674" s="21"/>
    </row>
    <row r="675" spans="14:25" x14ac:dyDescent="0.2">
      <c r="N675" s="21"/>
      <c r="Q675" s="21"/>
      <c r="T675" s="21"/>
      <c r="V675" s="21"/>
      <c r="Y675" s="21"/>
    </row>
    <row r="676" spans="14:25" x14ac:dyDescent="0.2">
      <c r="N676" s="21"/>
      <c r="Q676" s="21"/>
      <c r="T676" s="21"/>
      <c r="V676" s="21"/>
      <c r="Y676" s="21"/>
    </row>
    <row r="677" spans="14:25" x14ac:dyDescent="0.2">
      <c r="N677" s="21"/>
      <c r="Q677" s="21"/>
      <c r="T677" s="21"/>
      <c r="V677" s="21"/>
      <c r="Y677" s="21"/>
    </row>
    <row r="678" spans="14:25" x14ac:dyDescent="0.2">
      <c r="N678" s="21"/>
      <c r="Q678" s="21"/>
      <c r="T678" s="21"/>
      <c r="V678" s="21"/>
      <c r="Y678" s="21"/>
    </row>
    <row r="679" spans="14:25" x14ac:dyDescent="0.2">
      <c r="N679" s="21"/>
      <c r="Q679" s="21"/>
      <c r="T679" s="21"/>
      <c r="V679" s="21"/>
      <c r="Y679" s="21"/>
    </row>
    <row r="680" spans="14:25" x14ac:dyDescent="0.2">
      <c r="N680" s="21"/>
      <c r="Q680" s="21"/>
      <c r="T680" s="21"/>
      <c r="V680" s="21"/>
      <c r="Y680" s="21"/>
    </row>
    <row r="681" spans="14:25" x14ac:dyDescent="0.2">
      <c r="N681" s="21"/>
      <c r="Q681" s="21"/>
      <c r="T681" s="21"/>
      <c r="V681" s="21"/>
      <c r="Y681" s="21"/>
    </row>
    <row r="682" spans="14:25" x14ac:dyDescent="0.2">
      <c r="N682" s="21"/>
      <c r="Q682" s="21"/>
      <c r="T682" s="21"/>
      <c r="V682" s="21"/>
      <c r="Y682" s="21"/>
    </row>
    <row r="683" spans="14:25" x14ac:dyDescent="0.2">
      <c r="N683" s="21"/>
      <c r="Q683" s="21"/>
      <c r="T683" s="21"/>
      <c r="V683" s="21"/>
      <c r="Y683" s="21"/>
    </row>
    <row r="684" spans="14:25" x14ac:dyDescent="0.2">
      <c r="N684" s="21"/>
      <c r="Q684" s="21"/>
      <c r="T684" s="21"/>
      <c r="V684" s="21"/>
      <c r="Y684" s="21"/>
    </row>
    <row r="685" spans="14:25" x14ac:dyDescent="0.2">
      <c r="N685" s="21"/>
      <c r="Q685" s="21"/>
      <c r="T685" s="21"/>
      <c r="V685" s="21"/>
      <c r="Y685" s="21"/>
    </row>
    <row r="686" spans="14:25" x14ac:dyDescent="0.2">
      <c r="N686" s="21"/>
      <c r="Q686" s="21"/>
      <c r="T686" s="21"/>
      <c r="V686" s="21"/>
      <c r="Y686" s="21"/>
    </row>
    <row r="687" spans="14:25" x14ac:dyDescent="0.2">
      <c r="N687" s="21"/>
      <c r="Q687" s="21"/>
      <c r="T687" s="21"/>
      <c r="V687" s="21"/>
      <c r="Y687" s="21"/>
    </row>
    <row r="688" spans="14:25" x14ac:dyDescent="0.2">
      <c r="N688" s="21"/>
      <c r="Q688" s="21"/>
      <c r="T688" s="21"/>
      <c r="V688" s="21"/>
      <c r="Y688" s="21"/>
    </row>
    <row r="689" spans="14:25" x14ac:dyDescent="0.2">
      <c r="N689" s="21"/>
      <c r="Q689" s="21"/>
      <c r="T689" s="21"/>
      <c r="V689" s="21"/>
      <c r="Y689" s="21"/>
    </row>
    <row r="690" spans="14:25" x14ac:dyDescent="0.2">
      <c r="N690" s="21"/>
      <c r="Q690" s="21"/>
      <c r="T690" s="21"/>
      <c r="V690" s="21"/>
      <c r="Y690" s="21"/>
    </row>
    <row r="691" spans="14:25" x14ac:dyDescent="0.2">
      <c r="N691" s="21"/>
      <c r="Q691" s="21"/>
      <c r="T691" s="21"/>
      <c r="V691" s="21"/>
      <c r="Y691" s="21"/>
    </row>
    <row r="692" spans="14:25" x14ac:dyDescent="0.2">
      <c r="N692" s="21"/>
      <c r="Q692" s="21"/>
      <c r="T692" s="21"/>
      <c r="V692" s="21"/>
      <c r="Y692" s="21"/>
    </row>
    <row r="693" spans="14:25" x14ac:dyDescent="0.2">
      <c r="N693" s="21"/>
      <c r="Q693" s="21"/>
      <c r="T693" s="21"/>
      <c r="V693" s="21"/>
      <c r="Y693" s="21"/>
    </row>
    <row r="694" spans="14:25" x14ac:dyDescent="0.2">
      <c r="N694" s="21"/>
      <c r="Q694" s="21"/>
      <c r="T694" s="21"/>
      <c r="V694" s="21"/>
      <c r="Y694" s="21"/>
    </row>
    <row r="695" spans="14:25" x14ac:dyDescent="0.2">
      <c r="N695" s="21"/>
      <c r="Q695" s="21"/>
      <c r="T695" s="21"/>
      <c r="V695" s="21"/>
      <c r="Y695" s="21"/>
    </row>
    <row r="696" spans="14:25" x14ac:dyDescent="0.2">
      <c r="N696" s="21"/>
      <c r="Q696" s="21"/>
      <c r="T696" s="21"/>
      <c r="V696" s="21"/>
      <c r="Y696" s="21"/>
    </row>
    <row r="697" spans="14:25" x14ac:dyDescent="0.2">
      <c r="N697" s="21"/>
      <c r="Q697" s="21"/>
      <c r="T697" s="21"/>
      <c r="V697" s="21"/>
      <c r="Y697" s="21"/>
    </row>
    <row r="698" spans="14:25" x14ac:dyDescent="0.2">
      <c r="N698" s="21"/>
      <c r="Q698" s="21"/>
      <c r="T698" s="21"/>
      <c r="V698" s="21"/>
      <c r="Y698" s="21"/>
    </row>
    <row r="699" spans="14:25" x14ac:dyDescent="0.2">
      <c r="N699" s="21"/>
      <c r="Q699" s="21"/>
      <c r="T699" s="21"/>
      <c r="V699" s="21"/>
      <c r="Y699" s="21"/>
    </row>
    <row r="700" spans="14:25" x14ac:dyDescent="0.2">
      <c r="N700" s="21"/>
      <c r="Q700" s="21"/>
      <c r="T700" s="21"/>
      <c r="V700" s="21"/>
      <c r="Y700" s="21"/>
    </row>
    <row r="701" spans="14:25" x14ac:dyDescent="0.2">
      <c r="N701" s="21"/>
      <c r="Q701" s="21"/>
      <c r="T701" s="21"/>
      <c r="V701" s="21"/>
      <c r="Y701" s="21"/>
    </row>
    <row r="702" spans="14:25" x14ac:dyDescent="0.2">
      <c r="N702" s="21"/>
      <c r="Q702" s="21"/>
      <c r="T702" s="21"/>
      <c r="V702" s="21"/>
      <c r="Y702" s="21"/>
    </row>
    <row r="703" spans="14:25" x14ac:dyDescent="0.2">
      <c r="N703" s="21"/>
      <c r="Q703" s="21"/>
      <c r="T703" s="21"/>
      <c r="V703" s="21"/>
      <c r="Y703" s="21"/>
    </row>
    <row r="704" spans="14:25" x14ac:dyDescent="0.2">
      <c r="N704" s="21"/>
      <c r="Q704" s="21"/>
      <c r="T704" s="21"/>
      <c r="V704" s="21"/>
      <c r="Y704" s="21"/>
    </row>
    <row r="705" spans="14:25" x14ac:dyDescent="0.2">
      <c r="N705" s="21"/>
      <c r="Q705" s="21"/>
      <c r="T705" s="21"/>
      <c r="V705" s="21"/>
      <c r="Y705" s="21"/>
    </row>
    <row r="706" spans="14:25" x14ac:dyDescent="0.2">
      <c r="N706" s="21"/>
      <c r="Q706" s="21"/>
      <c r="T706" s="21"/>
      <c r="V706" s="21"/>
      <c r="Y706" s="21"/>
    </row>
    <row r="707" spans="14:25" x14ac:dyDescent="0.2">
      <c r="N707" s="21"/>
      <c r="Q707" s="21"/>
      <c r="T707" s="21"/>
      <c r="V707" s="21"/>
      <c r="Y707" s="21"/>
    </row>
    <row r="708" spans="14:25" x14ac:dyDescent="0.2">
      <c r="N708" s="21"/>
      <c r="Q708" s="21"/>
      <c r="T708" s="21"/>
      <c r="V708" s="21"/>
      <c r="Y708" s="21"/>
    </row>
    <row r="709" spans="14:25" x14ac:dyDescent="0.2">
      <c r="N709" s="21"/>
      <c r="Q709" s="21"/>
      <c r="T709" s="21"/>
      <c r="V709" s="21"/>
      <c r="Y709" s="21"/>
    </row>
    <row r="710" spans="14:25" x14ac:dyDescent="0.2">
      <c r="N710" s="21"/>
      <c r="Q710" s="21"/>
      <c r="T710" s="21"/>
      <c r="V710" s="21"/>
      <c r="Y710" s="21"/>
    </row>
    <row r="711" spans="14:25" x14ac:dyDescent="0.2">
      <c r="N711" s="21"/>
      <c r="Q711" s="21"/>
      <c r="T711" s="21"/>
      <c r="V711" s="21"/>
      <c r="Y711" s="21"/>
    </row>
    <row r="712" spans="14:25" x14ac:dyDescent="0.2">
      <c r="N712" s="21"/>
      <c r="Q712" s="21"/>
      <c r="T712" s="21"/>
      <c r="V712" s="21"/>
      <c r="Y712" s="21"/>
    </row>
    <row r="713" spans="14:25" x14ac:dyDescent="0.2">
      <c r="N713" s="21"/>
      <c r="Q713" s="21"/>
      <c r="T713" s="21"/>
      <c r="V713" s="21"/>
      <c r="Y713" s="21"/>
    </row>
    <row r="714" spans="14:25" x14ac:dyDescent="0.2">
      <c r="N714" s="21"/>
      <c r="Q714" s="21"/>
      <c r="T714" s="21"/>
      <c r="V714" s="21"/>
      <c r="Y714" s="21"/>
    </row>
    <row r="715" spans="14:25" x14ac:dyDescent="0.2">
      <c r="N715" s="21"/>
      <c r="Q715" s="21"/>
      <c r="T715" s="21"/>
      <c r="V715" s="21"/>
      <c r="Y715" s="21"/>
    </row>
    <row r="716" spans="14:25" x14ac:dyDescent="0.2">
      <c r="N716" s="21"/>
      <c r="Q716" s="21"/>
      <c r="T716" s="21"/>
      <c r="V716" s="21"/>
      <c r="Y716" s="21"/>
    </row>
    <row r="717" spans="14:25" x14ac:dyDescent="0.2">
      <c r="N717" s="21"/>
      <c r="Q717" s="21"/>
      <c r="T717" s="21"/>
      <c r="V717" s="21"/>
      <c r="Y717" s="21"/>
    </row>
    <row r="718" spans="14:25" x14ac:dyDescent="0.2">
      <c r="N718" s="21"/>
      <c r="Q718" s="21"/>
      <c r="T718" s="21"/>
      <c r="V718" s="21"/>
      <c r="Y718" s="21"/>
    </row>
    <row r="719" spans="14:25" x14ac:dyDescent="0.2">
      <c r="N719" s="21"/>
      <c r="Q719" s="21"/>
      <c r="T719" s="21"/>
      <c r="V719" s="21"/>
      <c r="Y719" s="21"/>
    </row>
    <row r="720" spans="14:25" x14ac:dyDescent="0.2">
      <c r="N720" s="21"/>
      <c r="Q720" s="21"/>
      <c r="T720" s="21"/>
      <c r="V720" s="21"/>
      <c r="Y720" s="21"/>
    </row>
    <row r="721" spans="14:25" x14ac:dyDescent="0.2">
      <c r="N721" s="21"/>
      <c r="Q721" s="21"/>
      <c r="T721" s="21"/>
      <c r="V721" s="21"/>
      <c r="Y721" s="21"/>
    </row>
    <row r="722" spans="14:25" x14ac:dyDescent="0.2">
      <c r="N722" s="21"/>
      <c r="Q722" s="21"/>
      <c r="T722" s="21"/>
      <c r="V722" s="21"/>
      <c r="Y722" s="21"/>
    </row>
    <row r="723" spans="14:25" x14ac:dyDescent="0.2">
      <c r="N723" s="21"/>
      <c r="Q723" s="21"/>
      <c r="T723" s="21"/>
      <c r="V723" s="21"/>
      <c r="Y723" s="21"/>
    </row>
    <row r="724" spans="14:25" x14ac:dyDescent="0.2">
      <c r="N724" s="21"/>
      <c r="Q724" s="21"/>
      <c r="T724" s="21"/>
      <c r="V724" s="21"/>
      <c r="Y724" s="21"/>
    </row>
    <row r="725" spans="14:25" x14ac:dyDescent="0.2">
      <c r="N725" s="21"/>
      <c r="Q725" s="21"/>
      <c r="T725" s="21"/>
      <c r="V725" s="21"/>
      <c r="Y725" s="21"/>
    </row>
    <row r="726" spans="14:25" x14ac:dyDescent="0.2">
      <c r="N726" s="21"/>
      <c r="Q726" s="21"/>
      <c r="T726" s="21"/>
      <c r="V726" s="21"/>
      <c r="Y726" s="21"/>
    </row>
    <row r="727" spans="14:25" x14ac:dyDescent="0.2">
      <c r="N727" s="21"/>
      <c r="Q727" s="21"/>
      <c r="T727" s="21"/>
      <c r="V727" s="21"/>
      <c r="Y727" s="21"/>
    </row>
    <row r="728" spans="14:25" x14ac:dyDescent="0.2">
      <c r="N728" s="21"/>
      <c r="Q728" s="21"/>
      <c r="T728" s="21"/>
      <c r="V728" s="21"/>
      <c r="Y728" s="21"/>
    </row>
    <row r="729" spans="14:25" x14ac:dyDescent="0.2">
      <c r="N729" s="21"/>
      <c r="Q729" s="21"/>
      <c r="T729" s="21"/>
      <c r="V729" s="21"/>
      <c r="Y729" s="21"/>
    </row>
    <row r="730" spans="14:25" x14ac:dyDescent="0.2">
      <c r="N730" s="21"/>
      <c r="Q730" s="21"/>
      <c r="T730" s="21"/>
      <c r="V730" s="21"/>
      <c r="Y730" s="21"/>
    </row>
    <row r="731" spans="14:25" x14ac:dyDescent="0.2">
      <c r="N731" s="21"/>
      <c r="Q731" s="21"/>
      <c r="T731" s="21"/>
      <c r="V731" s="21"/>
      <c r="Y731" s="21"/>
    </row>
    <row r="732" spans="14:25" x14ac:dyDescent="0.2">
      <c r="N732" s="21"/>
      <c r="Q732" s="21"/>
      <c r="T732" s="21"/>
      <c r="V732" s="21"/>
      <c r="Y732" s="21"/>
    </row>
    <row r="733" spans="14:25" x14ac:dyDescent="0.2">
      <c r="N733" s="21"/>
      <c r="Q733" s="21"/>
      <c r="T733" s="21"/>
      <c r="V733" s="21"/>
      <c r="Y733" s="21"/>
    </row>
    <row r="734" spans="14:25" x14ac:dyDescent="0.2">
      <c r="N734" s="21"/>
      <c r="Q734" s="21"/>
      <c r="T734" s="21"/>
      <c r="V734" s="21"/>
      <c r="Y734" s="21"/>
    </row>
    <row r="735" spans="14:25" x14ac:dyDescent="0.2">
      <c r="N735" s="21"/>
      <c r="Q735" s="21"/>
      <c r="T735" s="21"/>
      <c r="V735" s="21"/>
      <c r="Y735" s="21"/>
    </row>
    <row r="736" spans="14:25" x14ac:dyDescent="0.2">
      <c r="N736" s="21"/>
      <c r="Q736" s="21"/>
      <c r="T736" s="21"/>
      <c r="V736" s="21"/>
      <c r="Y736" s="21"/>
    </row>
    <row r="737" spans="14:25" x14ac:dyDescent="0.2">
      <c r="N737" s="21"/>
      <c r="Q737" s="21"/>
      <c r="T737" s="21"/>
      <c r="V737" s="21"/>
      <c r="Y737" s="21"/>
    </row>
    <row r="738" spans="14:25" x14ac:dyDescent="0.2">
      <c r="N738" s="21"/>
      <c r="Q738" s="21"/>
      <c r="T738" s="21"/>
      <c r="V738" s="21"/>
      <c r="Y738" s="21"/>
    </row>
    <row r="739" spans="14:25" x14ac:dyDescent="0.2">
      <c r="N739" s="21"/>
      <c r="Q739" s="21"/>
      <c r="T739" s="21"/>
      <c r="V739" s="21"/>
      <c r="Y739" s="21"/>
    </row>
    <row r="740" spans="14:25" x14ac:dyDescent="0.2">
      <c r="N740" s="21"/>
      <c r="Q740" s="21"/>
      <c r="T740" s="21"/>
      <c r="V740" s="21"/>
      <c r="Y740" s="21"/>
    </row>
    <row r="741" spans="14:25" x14ac:dyDescent="0.2">
      <c r="N741" s="21"/>
      <c r="Q741" s="21"/>
      <c r="T741" s="21"/>
      <c r="V741" s="21"/>
      <c r="Y741" s="21"/>
    </row>
    <row r="742" spans="14:25" x14ac:dyDescent="0.2">
      <c r="N742" s="21"/>
      <c r="Q742" s="21"/>
      <c r="T742" s="21"/>
      <c r="V742" s="21"/>
      <c r="Y742" s="21"/>
    </row>
    <row r="743" spans="14:25" x14ac:dyDescent="0.2">
      <c r="N743" s="21"/>
      <c r="Q743" s="21"/>
      <c r="T743" s="21"/>
      <c r="V743" s="21"/>
      <c r="Y743" s="21"/>
    </row>
    <row r="744" spans="14:25" x14ac:dyDescent="0.2">
      <c r="N744" s="21"/>
      <c r="Q744" s="21"/>
      <c r="T744" s="21"/>
      <c r="V744" s="21"/>
      <c r="Y744" s="21"/>
    </row>
    <row r="745" spans="14:25" x14ac:dyDescent="0.2">
      <c r="N745" s="21"/>
      <c r="Q745" s="21"/>
      <c r="T745" s="21"/>
      <c r="V745" s="21"/>
      <c r="Y745" s="21"/>
    </row>
    <row r="746" spans="14:25" x14ac:dyDescent="0.2">
      <c r="N746" s="21"/>
      <c r="Q746" s="21"/>
      <c r="T746" s="21"/>
      <c r="V746" s="21"/>
      <c r="Y746" s="21"/>
    </row>
    <row r="747" spans="14:25" x14ac:dyDescent="0.2">
      <c r="N747" s="21"/>
      <c r="Q747" s="21"/>
      <c r="T747" s="21"/>
      <c r="V747" s="21"/>
      <c r="Y747" s="21"/>
    </row>
    <row r="748" spans="14:25" x14ac:dyDescent="0.2">
      <c r="N748" s="21"/>
      <c r="Q748" s="21"/>
      <c r="T748" s="21"/>
      <c r="V748" s="21"/>
      <c r="Y748" s="21"/>
    </row>
    <row r="749" spans="14:25" x14ac:dyDescent="0.2">
      <c r="N749" s="21"/>
      <c r="Q749" s="21"/>
      <c r="T749" s="21"/>
      <c r="V749" s="21"/>
      <c r="Y749" s="21"/>
    </row>
    <row r="750" spans="14:25" x14ac:dyDescent="0.2">
      <c r="N750" s="21"/>
      <c r="Q750" s="21"/>
      <c r="T750" s="21"/>
      <c r="V750" s="21"/>
      <c r="Y750" s="21"/>
    </row>
    <row r="751" spans="14:25" x14ac:dyDescent="0.2">
      <c r="N751" s="21"/>
      <c r="Q751" s="21"/>
      <c r="T751" s="21"/>
      <c r="V751" s="21"/>
      <c r="Y751" s="21"/>
    </row>
    <row r="752" spans="14:25" x14ac:dyDescent="0.2">
      <c r="N752" s="21"/>
      <c r="Q752" s="21"/>
      <c r="T752" s="21"/>
      <c r="V752" s="21"/>
      <c r="Y752" s="21"/>
    </row>
    <row r="753" spans="14:25" x14ac:dyDescent="0.2">
      <c r="N753" s="21"/>
      <c r="Q753" s="21"/>
      <c r="T753" s="21"/>
      <c r="V753" s="21"/>
      <c r="Y753" s="21"/>
    </row>
    <row r="754" spans="14:25" x14ac:dyDescent="0.2">
      <c r="N754" s="21"/>
      <c r="Q754" s="21"/>
      <c r="T754" s="21"/>
      <c r="V754" s="21"/>
      <c r="Y754" s="21"/>
    </row>
    <row r="755" spans="14:25" x14ac:dyDescent="0.2">
      <c r="N755" s="21"/>
      <c r="Q755" s="21"/>
      <c r="T755" s="21"/>
      <c r="V755" s="21"/>
      <c r="Y755" s="21"/>
    </row>
    <row r="756" spans="14:25" x14ac:dyDescent="0.2">
      <c r="N756" s="21"/>
      <c r="Q756" s="21"/>
      <c r="T756" s="21"/>
      <c r="V756" s="21"/>
      <c r="Y756" s="21"/>
    </row>
    <row r="757" spans="14:25" x14ac:dyDescent="0.2">
      <c r="N757" s="21"/>
      <c r="Q757" s="21"/>
      <c r="T757" s="21"/>
      <c r="V757" s="21"/>
      <c r="Y757" s="21"/>
    </row>
    <row r="758" spans="14:25" x14ac:dyDescent="0.2">
      <c r="N758" s="21"/>
      <c r="Q758" s="21"/>
      <c r="T758" s="21"/>
      <c r="V758" s="21"/>
      <c r="Y758" s="21"/>
    </row>
    <row r="759" spans="14:25" x14ac:dyDescent="0.2">
      <c r="N759" s="21"/>
      <c r="Q759" s="21"/>
      <c r="T759" s="21"/>
      <c r="V759" s="21"/>
      <c r="Y759" s="21"/>
    </row>
    <row r="760" spans="14:25" x14ac:dyDescent="0.2">
      <c r="N760" s="21"/>
      <c r="Q760" s="21"/>
      <c r="T760" s="21"/>
      <c r="V760" s="21"/>
      <c r="Y760" s="21"/>
    </row>
    <row r="761" spans="14:25" x14ac:dyDescent="0.2">
      <c r="N761" s="21"/>
      <c r="Q761" s="21"/>
      <c r="T761" s="21"/>
      <c r="V761" s="21"/>
      <c r="Y761" s="21"/>
    </row>
    <row r="762" spans="14:25" x14ac:dyDescent="0.2">
      <c r="N762" s="21"/>
      <c r="Q762" s="21"/>
      <c r="T762" s="21"/>
      <c r="V762" s="21"/>
      <c r="Y762" s="21"/>
    </row>
    <row r="763" spans="14:25" x14ac:dyDescent="0.2">
      <c r="N763" s="21"/>
      <c r="Q763" s="21"/>
      <c r="T763" s="21"/>
      <c r="V763" s="21"/>
      <c r="Y763" s="21"/>
    </row>
    <row r="764" spans="14:25" x14ac:dyDescent="0.2">
      <c r="N764" s="21"/>
      <c r="Q764" s="21"/>
      <c r="T764" s="21"/>
      <c r="V764" s="21"/>
      <c r="Y764" s="21"/>
    </row>
    <row r="765" spans="14:25" x14ac:dyDescent="0.2">
      <c r="N765" s="21"/>
      <c r="Q765" s="21"/>
      <c r="T765" s="21"/>
      <c r="V765" s="21"/>
      <c r="Y765" s="21"/>
    </row>
    <row r="766" spans="14:25" x14ac:dyDescent="0.2">
      <c r="N766" s="21"/>
      <c r="Q766" s="21"/>
      <c r="T766" s="21"/>
      <c r="V766" s="21"/>
      <c r="Y766" s="21"/>
    </row>
    <row r="767" spans="14:25" x14ac:dyDescent="0.2">
      <c r="N767" s="21"/>
      <c r="Q767" s="21"/>
      <c r="T767" s="21"/>
      <c r="V767" s="21"/>
      <c r="Y767" s="21"/>
    </row>
    <row r="768" spans="14:25" x14ac:dyDescent="0.2">
      <c r="N768" s="21"/>
      <c r="Q768" s="21"/>
      <c r="T768" s="21"/>
      <c r="V768" s="21"/>
      <c r="Y768" s="21"/>
    </row>
    <row r="769" spans="14:25" x14ac:dyDescent="0.2">
      <c r="N769" s="21"/>
      <c r="Q769" s="21"/>
      <c r="T769" s="21"/>
      <c r="V769" s="21"/>
      <c r="Y769" s="21"/>
    </row>
    <row r="770" spans="14:25" x14ac:dyDescent="0.2">
      <c r="N770" s="21"/>
      <c r="Q770" s="21"/>
      <c r="T770" s="21"/>
      <c r="V770" s="21"/>
      <c r="Y770" s="21"/>
    </row>
    <row r="771" spans="14:25" x14ac:dyDescent="0.2">
      <c r="N771" s="21"/>
      <c r="Q771" s="21"/>
      <c r="T771" s="21"/>
      <c r="V771" s="21"/>
      <c r="Y771" s="21"/>
    </row>
    <row r="772" spans="14:25" x14ac:dyDescent="0.2">
      <c r="N772" s="21"/>
      <c r="Q772" s="21"/>
      <c r="T772" s="21"/>
      <c r="V772" s="21"/>
      <c r="Y772" s="21"/>
    </row>
    <row r="773" spans="14:25" x14ac:dyDescent="0.2">
      <c r="N773" s="21"/>
      <c r="Q773" s="21"/>
      <c r="T773" s="21"/>
      <c r="V773" s="21"/>
      <c r="Y773" s="21"/>
    </row>
    <row r="774" spans="14:25" x14ac:dyDescent="0.2">
      <c r="N774" s="21"/>
      <c r="Q774" s="21"/>
      <c r="T774" s="21"/>
      <c r="V774" s="21"/>
      <c r="Y774" s="21"/>
    </row>
    <row r="775" spans="14:25" x14ac:dyDescent="0.2">
      <c r="N775" s="21"/>
      <c r="Q775" s="21"/>
      <c r="T775" s="21"/>
      <c r="V775" s="21"/>
      <c r="Y775" s="21"/>
    </row>
    <row r="776" spans="14:25" x14ac:dyDescent="0.2">
      <c r="N776" s="21"/>
      <c r="Q776" s="21"/>
      <c r="T776" s="21"/>
      <c r="V776" s="21"/>
      <c r="Y776" s="21"/>
    </row>
    <row r="777" spans="14:25" x14ac:dyDescent="0.2">
      <c r="N777" s="21"/>
      <c r="Q777" s="21"/>
      <c r="T777" s="21"/>
      <c r="V777" s="21"/>
      <c r="Y777" s="21"/>
    </row>
    <row r="778" spans="14:25" x14ac:dyDescent="0.2">
      <c r="N778" s="21"/>
      <c r="Q778" s="21"/>
      <c r="T778" s="21"/>
      <c r="V778" s="21"/>
      <c r="Y778" s="21"/>
    </row>
    <row r="779" spans="14:25" x14ac:dyDescent="0.2">
      <c r="N779" s="21"/>
      <c r="Q779" s="21"/>
      <c r="T779" s="21"/>
      <c r="V779" s="21"/>
      <c r="Y779" s="21"/>
    </row>
    <row r="780" spans="14:25" x14ac:dyDescent="0.2">
      <c r="N780" s="21"/>
      <c r="Q780" s="21"/>
      <c r="T780" s="21"/>
      <c r="V780" s="21"/>
      <c r="Y780" s="21"/>
    </row>
    <row r="781" spans="14:25" x14ac:dyDescent="0.2">
      <c r="N781" s="21"/>
      <c r="Q781" s="21"/>
      <c r="T781" s="21"/>
      <c r="V781" s="21"/>
      <c r="Y781" s="21"/>
    </row>
    <row r="782" spans="14:25" x14ac:dyDescent="0.2">
      <c r="N782" s="21"/>
      <c r="Q782" s="21"/>
      <c r="T782" s="21"/>
      <c r="V782" s="21"/>
      <c r="Y782" s="21"/>
    </row>
    <row r="783" spans="14:25" x14ac:dyDescent="0.2">
      <c r="N783" s="21"/>
      <c r="Q783" s="21"/>
      <c r="T783" s="21"/>
      <c r="V783" s="21"/>
      <c r="Y783" s="21"/>
    </row>
    <row r="784" spans="14:25" x14ac:dyDescent="0.2">
      <c r="N784" s="21"/>
      <c r="Q784" s="21"/>
      <c r="T784" s="21"/>
      <c r="V784" s="21"/>
      <c r="Y784" s="21"/>
    </row>
    <row r="785" spans="14:25" x14ac:dyDescent="0.2">
      <c r="N785" s="21"/>
      <c r="Q785" s="21"/>
      <c r="T785" s="21"/>
      <c r="V785" s="21"/>
      <c r="Y785" s="21"/>
    </row>
    <row r="786" spans="14:25" x14ac:dyDescent="0.2">
      <c r="N786" s="21"/>
      <c r="Q786" s="21"/>
      <c r="T786" s="21"/>
      <c r="V786" s="21"/>
      <c r="Y786" s="21"/>
    </row>
    <row r="787" spans="14:25" x14ac:dyDescent="0.2">
      <c r="N787" s="21"/>
      <c r="Q787" s="21"/>
      <c r="T787" s="21"/>
      <c r="V787" s="21"/>
      <c r="Y787" s="21"/>
    </row>
    <row r="788" spans="14:25" x14ac:dyDescent="0.2">
      <c r="N788" s="21"/>
      <c r="Q788" s="21"/>
      <c r="T788" s="21"/>
      <c r="V788" s="21"/>
      <c r="Y788" s="21"/>
    </row>
    <row r="789" spans="14:25" x14ac:dyDescent="0.2">
      <c r="N789" s="21"/>
      <c r="Q789" s="21"/>
      <c r="T789" s="21"/>
      <c r="V789" s="21"/>
      <c r="Y789" s="21"/>
    </row>
    <row r="790" spans="14:25" x14ac:dyDescent="0.2">
      <c r="N790" s="21"/>
      <c r="Q790" s="21"/>
      <c r="T790" s="21"/>
      <c r="V790" s="21"/>
      <c r="Y790" s="21"/>
    </row>
    <row r="791" spans="14:25" x14ac:dyDescent="0.2">
      <c r="N791" s="21"/>
      <c r="Q791" s="21"/>
      <c r="T791" s="21"/>
      <c r="V791" s="21"/>
      <c r="Y791" s="21"/>
    </row>
    <row r="792" spans="14:25" x14ac:dyDescent="0.2">
      <c r="N792" s="21"/>
      <c r="Q792" s="21"/>
      <c r="T792" s="21"/>
      <c r="V792" s="21"/>
      <c r="Y792" s="21"/>
    </row>
    <row r="793" spans="14:25" x14ac:dyDescent="0.2">
      <c r="N793" s="21"/>
      <c r="Q793" s="21"/>
      <c r="T793" s="21"/>
      <c r="V793" s="21"/>
      <c r="Y793" s="21"/>
    </row>
    <row r="794" spans="14:25" x14ac:dyDescent="0.2">
      <c r="N794" s="21"/>
      <c r="Q794" s="21"/>
      <c r="T794" s="21"/>
      <c r="V794" s="21"/>
      <c r="Y794" s="21"/>
    </row>
    <row r="795" spans="14:25" x14ac:dyDescent="0.2">
      <c r="N795" s="21"/>
      <c r="Q795" s="21"/>
      <c r="T795" s="21"/>
      <c r="V795" s="21"/>
      <c r="Y795" s="21"/>
    </row>
    <row r="796" spans="14:25" x14ac:dyDescent="0.2">
      <c r="N796" s="21"/>
      <c r="Q796" s="21"/>
      <c r="T796" s="21"/>
      <c r="V796" s="21"/>
      <c r="Y796" s="21"/>
    </row>
    <row r="797" spans="14:25" x14ac:dyDescent="0.2">
      <c r="N797" s="21"/>
      <c r="Q797" s="21"/>
      <c r="T797" s="21"/>
      <c r="V797" s="21"/>
      <c r="Y797" s="21"/>
    </row>
    <row r="798" spans="14:25" x14ac:dyDescent="0.2">
      <c r="N798" s="21"/>
      <c r="Q798" s="21"/>
      <c r="T798" s="21"/>
      <c r="V798" s="21"/>
      <c r="Y798" s="21"/>
    </row>
    <row r="799" spans="14:25" x14ac:dyDescent="0.2">
      <c r="N799" s="21"/>
      <c r="Q799" s="21"/>
      <c r="T799" s="21"/>
      <c r="V799" s="21"/>
      <c r="Y799" s="21"/>
    </row>
    <row r="800" spans="14:25" x14ac:dyDescent="0.2">
      <c r="N800" s="21"/>
      <c r="Q800" s="21"/>
      <c r="T800" s="21"/>
      <c r="V800" s="21"/>
      <c r="Y800" s="21"/>
    </row>
    <row r="801" spans="14:25" x14ac:dyDescent="0.2">
      <c r="N801" s="21"/>
      <c r="Q801" s="21"/>
      <c r="T801" s="21"/>
      <c r="V801" s="21"/>
      <c r="Y801" s="21"/>
    </row>
    <row r="802" spans="14:25" x14ac:dyDescent="0.2">
      <c r="N802" s="21"/>
      <c r="Q802" s="21"/>
      <c r="T802" s="21"/>
      <c r="V802" s="21"/>
      <c r="Y802" s="21"/>
    </row>
    <row r="803" spans="14:25" x14ac:dyDescent="0.2">
      <c r="N803" s="21"/>
      <c r="Q803" s="21"/>
      <c r="T803" s="21"/>
      <c r="V803" s="21"/>
      <c r="Y803" s="21"/>
    </row>
    <row r="804" spans="14:25" x14ac:dyDescent="0.2">
      <c r="N804" s="21"/>
      <c r="Q804" s="21"/>
      <c r="T804" s="21"/>
      <c r="V804" s="21"/>
      <c r="Y804" s="21"/>
    </row>
    <row r="805" spans="14:25" x14ac:dyDescent="0.2">
      <c r="N805" s="21"/>
      <c r="Q805" s="21"/>
      <c r="T805" s="21"/>
      <c r="V805" s="21"/>
      <c r="Y805" s="21"/>
    </row>
    <row r="806" spans="14:25" x14ac:dyDescent="0.2">
      <c r="N806" s="21"/>
      <c r="Q806" s="21"/>
      <c r="T806" s="21"/>
      <c r="V806" s="21"/>
      <c r="Y806" s="21"/>
    </row>
    <row r="807" spans="14:25" x14ac:dyDescent="0.2">
      <c r="N807" s="21"/>
      <c r="Q807" s="21"/>
      <c r="T807" s="21"/>
      <c r="V807" s="21"/>
      <c r="Y807" s="21"/>
    </row>
    <row r="808" spans="14:25" x14ac:dyDescent="0.2">
      <c r="N808" s="21"/>
      <c r="Q808" s="21"/>
      <c r="T808" s="21"/>
      <c r="V808" s="21"/>
      <c r="Y808" s="21"/>
    </row>
    <row r="809" spans="14:25" x14ac:dyDescent="0.2">
      <c r="N809" s="21"/>
      <c r="Q809" s="21"/>
      <c r="T809" s="21"/>
      <c r="V809" s="21"/>
      <c r="Y809" s="21"/>
    </row>
    <row r="810" spans="14:25" x14ac:dyDescent="0.2">
      <c r="N810" s="21"/>
      <c r="Q810" s="21"/>
      <c r="T810" s="21"/>
      <c r="V810" s="21"/>
      <c r="Y810" s="21"/>
    </row>
    <row r="811" spans="14:25" x14ac:dyDescent="0.2">
      <c r="N811" s="21"/>
      <c r="Q811" s="21"/>
      <c r="T811" s="21"/>
      <c r="V811" s="21"/>
      <c r="Y811" s="21"/>
    </row>
    <row r="812" spans="14:25" x14ac:dyDescent="0.2">
      <c r="N812" s="21"/>
      <c r="Q812" s="21"/>
      <c r="T812" s="21"/>
      <c r="V812" s="21"/>
      <c r="Y812" s="21"/>
    </row>
    <row r="813" spans="14:25" x14ac:dyDescent="0.2">
      <c r="N813" s="21"/>
      <c r="Q813" s="21"/>
      <c r="T813" s="21"/>
      <c r="V813" s="21"/>
      <c r="Y813" s="21"/>
    </row>
    <row r="814" spans="14:25" x14ac:dyDescent="0.2">
      <c r="N814" s="21"/>
      <c r="Q814" s="21"/>
      <c r="T814" s="21"/>
      <c r="V814" s="21"/>
      <c r="Y814" s="21"/>
    </row>
    <row r="815" spans="14:25" x14ac:dyDescent="0.2">
      <c r="N815" s="21"/>
      <c r="Q815" s="21"/>
      <c r="T815" s="21"/>
      <c r="V815" s="21"/>
      <c r="Y815" s="21"/>
    </row>
    <row r="816" spans="14:25" x14ac:dyDescent="0.2">
      <c r="N816" s="21"/>
      <c r="Q816" s="21"/>
      <c r="T816" s="21"/>
      <c r="V816" s="21"/>
      <c r="Y816" s="21"/>
    </row>
    <row r="817" spans="14:25" x14ac:dyDescent="0.2">
      <c r="N817" s="21"/>
      <c r="Q817" s="21"/>
      <c r="T817" s="21"/>
      <c r="V817" s="21"/>
      <c r="Y817" s="21"/>
    </row>
    <row r="818" spans="14:25" x14ac:dyDescent="0.2">
      <c r="N818" s="21"/>
      <c r="Q818" s="21"/>
      <c r="T818" s="21"/>
      <c r="V818" s="21"/>
      <c r="Y818" s="21"/>
    </row>
    <row r="819" spans="14:25" x14ac:dyDescent="0.2">
      <c r="N819" s="21"/>
      <c r="Q819" s="21"/>
      <c r="T819" s="21"/>
      <c r="V819" s="21"/>
      <c r="Y819" s="21"/>
    </row>
    <row r="820" spans="14:25" x14ac:dyDescent="0.2">
      <c r="N820" s="21"/>
      <c r="Q820" s="21"/>
      <c r="T820" s="21"/>
      <c r="V820" s="21"/>
      <c r="Y820" s="21"/>
    </row>
    <row r="821" spans="14:25" x14ac:dyDescent="0.2">
      <c r="N821" s="21"/>
      <c r="Q821" s="21"/>
      <c r="T821" s="21"/>
      <c r="V821" s="21"/>
      <c r="Y821" s="21"/>
    </row>
    <row r="822" spans="14:25" x14ac:dyDescent="0.2">
      <c r="N822" s="21"/>
      <c r="Q822" s="21"/>
      <c r="T822" s="21"/>
      <c r="V822" s="21"/>
      <c r="Y822" s="21"/>
    </row>
    <row r="823" spans="14:25" x14ac:dyDescent="0.2">
      <c r="N823" s="21"/>
      <c r="Q823" s="21"/>
      <c r="T823" s="21"/>
      <c r="V823" s="21"/>
      <c r="Y823" s="21"/>
    </row>
    <row r="824" spans="14:25" x14ac:dyDescent="0.2">
      <c r="N824" s="21"/>
      <c r="Q824" s="21"/>
      <c r="T824" s="21"/>
      <c r="V824" s="21"/>
      <c r="Y824" s="21"/>
    </row>
    <row r="825" spans="14:25" x14ac:dyDescent="0.2">
      <c r="N825" s="21"/>
      <c r="Q825" s="21"/>
      <c r="T825" s="21"/>
      <c r="V825" s="21"/>
      <c r="Y825" s="21"/>
    </row>
    <row r="826" spans="14:25" x14ac:dyDescent="0.2">
      <c r="N826" s="21"/>
      <c r="Q826" s="21"/>
      <c r="T826" s="21"/>
      <c r="V826" s="21"/>
      <c r="Y826" s="21"/>
    </row>
    <row r="827" spans="14:25" x14ac:dyDescent="0.2">
      <c r="N827" s="21"/>
      <c r="Q827" s="21"/>
      <c r="T827" s="21"/>
      <c r="V827" s="21"/>
      <c r="Y827" s="21"/>
    </row>
    <row r="828" spans="14:25" x14ac:dyDescent="0.2">
      <c r="N828" s="21"/>
      <c r="Q828" s="21"/>
      <c r="T828" s="21"/>
      <c r="V828" s="21"/>
      <c r="Y828" s="21"/>
    </row>
    <row r="829" spans="14:25" x14ac:dyDescent="0.2">
      <c r="N829" s="21"/>
      <c r="Q829" s="21"/>
      <c r="T829" s="21"/>
      <c r="V829" s="21"/>
      <c r="Y829" s="21"/>
    </row>
    <row r="830" spans="14:25" x14ac:dyDescent="0.2">
      <c r="N830" s="21"/>
      <c r="Q830" s="21"/>
      <c r="T830" s="21"/>
      <c r="V830" s="21"/>
      <c r="Y830" s="21"/>
    </row>
    <row r="831" spans="14:25" x14ac:dyDescent="0.2">
      <c r="N831" s="21"/>
      <c r="Q831" s="21"/>
      <c r="T831" s="21"/>
      <c r="V831" s="21"/>
      <c r="Y831" s="21"/>
    </row>
    <row r="832" spans="14:25" x14ac:dyDescent="0.2">
      <c r="N832" s="21"/>
      <c r="Q832" s="21"/>
      <c r="T832" s="21"/>
      <c r="V832" s="21"/>
      <c r="Y832" s="21"/>
    </row>
    <row r="833" spans="14:25" x14ac:dyDescent="0.2">
      <c r="N833" s="21"/>
      <c r="Q833" s="21"/>
      <c r="T833" s="21"/>
      <c r="V833" s="21"/>
      <c r="Y833" s="21"/>
    </row>
    <row r="834" spans="14:25" x14ac:dyDescent="0.2">
      <c r="N834" s="21"/>
      <c r="Q834" s="21"/>
      <c r="T834" s="21"/>
      <c r="V834" s="21"/>
      <c r="Y834" s="21"/>
    </row>
    <row r="835" spans="14:25" x14ac:dyDescent="0.2">
      <c r="N835" s="21"/>
      <c r="Q835" s="21"/>
      <c r="T835" s="21"/>
      <c r="V835" s="21"/>
      <c r="Y835" s="21"/>
    </row>
    <row r="836" spans="14:25" x14ac:dyDescent="0.2">
      <c r="N836" s="21"/>
      <c r="Q836" s="21"/>
      <c r="T836" s="21"/>
      <c r="V836" s="21"/>
      <c r="Y836" s="21"/>
    </row>
    <row r="837" spans="14:25" x14ac:dyDescent="0.2">
      <c r="N837" s="21"/>
      <c r="Q837" s="21"/>
      <c r="T837" s="21"/>
      <c r="V837" s="21"/>
      <c r="Y837" s="21"/>
    </row>
    <row r="838" spans="14:25" x14ac:dyDescent="0.2">
      <c r="N838" s="21"/>
      <c r="Q838" s="21"/>
      <c r="T838" s="21"/>
      <c r="V838" s="21"/>
      <c r="Y838" s="21"/>
    </row>
    <row r="839" spans="14:25" x14ac:dyDescent="0.2">
      <c r="N839" s="21"/>
      <c r="Q839" s="21"/>
      <c r="T839" s="21"/>
      <c r="V839" s="21"/>
      <c r="Y839" s="21"/>
    </row>
    <row r="840" spans="14:25" x14ac:dyDescent="0.2">
      <c r="N840" s="21"/>
      <c r="Q840" s="21"/>
      <c r="T840" s="21"/>
      <c r="V840" s="21"/>
      <c r="Y840" s="21"/>
    </row>
    <row r="841" spans="14:25" x14ac:dyDescent="0.2">
      <c r="N841" s="21"/>
      <c r="Q841" s="21"/>
      <c r="T841" s="21"/>
      <c r="V841" s="21"/>
      <c r="Y841" s="21"/>
    </row>
    <row r="842" spans="14:25" x14ac:dyDescent="0.2">
      <c r="N842" s="21"/>
      <c r="Q842" s="21"/>
      <c r="T842" s="21"/>
      <c r="V842" s="21"/>
      <c r="Y842" s="21"/>
    </row>
    <row r="843" spans="14:25" x14ac:dyDescent="0.2">
      <c r="N843" s="21"/>
      <c r="Q843" s="21"/>
      <c r="T843" s="21"/>
      <c r="V843" s="21"/>
      <c r="Y843" s="21"/>
    </row>
    <row r="844" spans="14:25" x14ac:dyDescent="0.2">
      <c r="N844" s="21"/>
      <c r="Q844" s="21"/>
      <c r="T844" s="21"/>
      <c r="V844" s="21"/>
      <c r="Y844" s="21"/>
    </row>
    <row r="845" spans="14:25" x14ac:dyDescent="0.2">
      <c r="N845" s="21"/>
      <c r="Q845" s="21"/>
      <c r="T845" s="21"/>
      <c r="V845" s="21"/>
      <c r="Y845" s="21"/>
    </row>
    <row r="846" spans="14:25" x14ac:dyDescent="0.2">
      <c r="N846" s="21"/>
      <c r="Q846" s="21"/>
      <c r="T846" s="21"/>
      <c r="V846" s="21"/>
      <c r="Y846" s="21"/>
    </row>
    <row r="847" spans="14:25" x14ac:dyDescent="0.2">
      <c r="N847" s="21"/>
      <c r="Q847" s="21"/>
      <c r="T847" s="21"/>
      <c r="V847" s="21"/>
      <c r="Y847" s="21"/>
    </row>
    <row r="848" spans="14:25" x14ac:dyDescent="0.2">
      <c r="N848" s="21"/>
      <c r="Q848" s="21"/>
      <c r="T848" s="21"/>
      <c r="V848" s="21"/>
      <c r="Y848" s="21"/>
    </row>
    <row r="849" spans="14:25" x14ac:dyDescent="0.2">
      <c r="N849" s="21"/>
      <c r="Q849" s="21"/>
      <c r="T849" s="21"/>
      <c r="V849" s="21"/>
      <c r="Y849" s="21"/>
    </row>
    <row r="850" spans="14:25" x14ac:dyDescent="0.2">
      <c r="N850" s="21"/>
      <c r="Q850" s="21"/>
      <c r="T850" s="21"/>
      <c r="V850" s="21"/>
      <c r="Y850" s="21"/>
    </row>
    <row r="851" spans="14:25" x14ac:dyDescent="0.2">
      <c r="N851" s="21"/>
      <c r="Q851" s="21"/>
      <c r="T851" s="21"/>
      <c r="V851" s="21"/>
      <c r="Y851" s="21"/>
    </row>
    <row r="852" spans="14:25" x14ac:dyDescent="0.2">
      <c r="N852" s="21"/>
      <c r="Q852" s="21"/>
      <c r="T852" s="21"/>
      <c r="V852" s="21"/>
      <c r="Y852" s="21"/>
    </row>
    <row r="853" spans="14:25" x14ac:dyDescent="0.2">
      <c r="N853" s="21"/>
      <c r="Q853" s="21"/>
      <c r="T853" s="21"/>
      <c r="V853" s="21"/>
      <c r="Y853" s="21"/>
    </row>
    <row r="854" spans="14:25" x14ac:dyDescent="0.2">
      <c r="N854" s="21"/>
      <c r="Q854" s="21"/>
      <c r="T854" s="21"/>
      <c r="V854" s="21"/>
      <c r="Y854" s="21"/>
    </row>
    <row r="855" spans="14:25" x14ac:dyDescent="0.2">
      <c r="N855" s="21"/>
      <c r="Q855" s="21"/>
      <c r="T855" s="21"/>
      <c r="V855" s="21"/>
      <c r="Y855" s="21"/>
    </row>
    <row r="856" spans="14:25" x14ac:dyDescent="0.2">
      <c r="N856" s="21"/>
      <c r="Q856" s="21"/>
      <c r="T856" s="21"/>
      <c r="V856" s="21"/>
      <c r="Y856" s="21"/>
    </row>
    <row r="857" spans="14:25" x14ac:dyDescent="0.2">
      <c r="N857" s="21"/>
      <c r="Q857" s="21"/>
      <c r="T857" s="21"/>
      <c r="V857" s="21"/>
      <c r="Y857" s="21"/>
    </row>
    <row r="858" spans="14:25" x14ac:dyDescent="0.2">
      <c r="N858" s="21"/>
      <c r="Q858" s="21"/>
      <c r="T858" s="21"/>
      <c r="V858" s="21"/>
      <c r="Y858" s="21"/>
    </row>
    <row r="859" spans="14:25" x14ac:dyDescent="0.2">
      <c r="N859" s="21"/>
      <c r="Q859" s="21"/>
      <c r="T859" s="21"/>
      <c r="V859" s="21"/>
      <c r="Y859" s="21"/>
    </row>
    <row r="860" spans="14:25" x14ac:dyDescent="0.2">
      <c r="N860" s="21"/>
      <c r="Q860" s="21"/>
      <c r="T860" s="21"/>
      <c r="V860" s="21"/>
      <c r="Y860" s="21"/>
    </row>
    <row r="861" spans="14:25" x14ac:dyDescent="0.2">
      <c r="N861" s="21"/>
      <c r="Q861" s="21"/>
      <c r="T861" s="21"/>
      <c r="V861" s="21"/>
      <c r="Y861" s="21"/>
    </row>
    <row r="862" spans="14:25" x14ac:dyDescent="0.2">
      <c r="N862" s="21"/>
      <c r="Q862" s="21"/>
      <c r="T862" s="21"/>
      <c r="V862" s="21"/>
      <c r="Y862" s="21"/>
    </row>
    <row r="863" spans="14:25" x14ac:dyDescent="0.2">
      <c r="N863" s="21"/>
      <c r="Q863" s="21"/>
      <c r="T863" s="21"/>
      <c r="V863" s="21"/>
      <c r="Y863" s="21"/>
    </row>
    <row r="864" spans="14:25" x14ac:dyDescent="0.2">
      <c r="N864" s="21"/>
      <c r="Q864" s="21"/>
      <c r="T864" s="21"/>
      <c r="V864" s="21"/>
      <c r="Y864" s="21"/>
    </row>
    <row r="865" spans="14:25" x14ac:dyDescent="0.2">
      <c r="N865" s="21"/>
      <c r="Q865" s="21"/>
      <c r="T865" s="21"/>
      <c r="V865" s="21"/>
      <c r="Y865" s="21"/>
    </row>
    <row r="866" spans="14:25" x14ac:dyDescent="0.2">
      <c r="N866" s="21"/>
      <c r="Q866" s="21"/>
      <c r="T866" s="21"/>
      <c r="V866" s="21"/>
      <c r="Y866" s="21"/>
    </row>
    <row r="867" spans="14:25" x14ac:dyDescent="0.2">
      <c r="N867" s="21"/>
      <c r="Q867" s="21"/>
      <c r="T867" s="21"/>
      <c r="V867" s="21"/>
      <c r="Y867" s="21"/>
    </row>
    <row r="868" spans="14:25" x14ac:dyDescent="0.2">
      <c r="N868" s="21"/>
      <c r="Q868" s="21"/>
      <c r="T868" s="21"/>
      <c r="V868" s="21"/>
      <c r="Y868" s="21"/>
    </row>
    <row r="869" spans="14:25" x14ac:dyDescent="0.2">
      <c r="N869" s="21"/>
      <c r="Q869" s="21"/>
      <c r="T869" s="21"/>
      <c r="V869" s="21"/>
      <c r="Y869" s="21"/>
    </row>
    <row r="870" spans="14:25" x14ac:dyDescent="0.2">
      <c r="N870" s="21"/>
      <c r="Q870" s="21"/>
      <c r="T870" s="21"/>
      <c r="V870" s="21"/>
      <c r="Y870" s="21"/>
    </row>
    <row r="871" spans="14:25" x14ac:dyDescent="0.2">
      <c r="N871" s="21"/>
      <c r="Q871" s="21"/>
      <c r="T871" s="21"/>
      <c r="V871" s="21"/>
      <c r="Y871" s="21"/>
    </row>
    <row r="872" spans="14:25" x14ac:dyDescent="0.2">
      <c r="N872" s="21"/>
      <c r="Q872" s="21"/>
      <c r="T872" s="21"/>
      <c r="V872" s="21"/>
      <c r="Y872" s="21"/>
    </row>
    <row r="873" spans="14:25" x14ac:dyDescent="0.2">
      <c r="N873" s="21"/>
      <c r="Q873" s="21"/>
      <c r="T873" s="21"/>
      <c r="V873" s="21"/>
      <c r="Y873" s="21"/>
    </row>
    <row r="874" spans="14:25" x14ac:dyDescent="0.2">
      <c r="N874" s="21"/>
      <c r="Q874" s="21"/>
      <c r="T874" s="21"/>
      <c r="V874" s="21"/>
      <c r="Y874" s="21"/>
    </row>
    <row r="875" spans="14:25" x14ac:dyDescent="0.2">
      <c r="N875" s="21"/>
      <c r="Q875" s="21"/>
      <c r="T875" s="21"/>
      <c r="V875" s="21"/>
      <c r="Y875" s="21"/>
    </row>
    <row r="876" spans="14:25" x14ac:dyDescent="0.2">
      <c r="N876" s="21"/>
      <c r="Q876" s="21"/>
      <c r="T876" s="21"/>
      <c r="V876" s="21"/>
      <c r="Y876" s="21"/>
    </row>
    <row r="877" spans="14:25" x14ac:dyDescent="0.2">
      <c r="N877" s="21"/>
      <c r="Q877" s="21"/>
      <c r="T877" s="21"/>
      <c r="V877" s="21"/>
      <c r="Y877" s="21"/>
    </row>
    <row r="878" spans="14:25" x14ac:dyDescent="0.2">
      <c r="N878" s="21"/>
      <c r="Q878" s="21"/>
      <c r="T878" s="21"/>
      <c r="V878" s="21"/>
      <c r="Y878" s="21"/>
    </row>
    <row r="879" spans="14:25" x14ac:dyDescent="0.2">
      <c r="N879" s="21"/>
      <c r="Q879" s="21"/>
      <c r="T879" s="21"/>
      <c r="V879" s="21"/>
      <c r="Y879" s="21"/>
    </row>
    <row r="880" spans="14:25" x14ac:dyDescent="0.2">
      <c r="N880" s="21"/>
      <c r="Q880" s="21"/>
      <c r="T880" s="21"/>
      <c r="V880" s="21"/>
      <c r="Y880" s="21"/>
    </row>
    <row r="881" spans="14:25" x14ac:dyDescent="0.2">
      <c r="N881" s="21"/>
      <c r="Q881" s="21"/>
      <c r="T881" s="21"/>
      <c r="V881" s="21"/>
      <c r="Y881" s="21"/>
    </row>
    <row r="882" spans="14:25" x14ac:dyDescent="0.2">
      <c r="N882" s="21"/>
      <c r="Q882" s="21"/>
      <c r="T882" s="21"/>
      <c r="V882" s="21"/>
      <c r="Y882" s="21"/>
    </row>
    <row r="883" spans="14:25" x14ac:dyDescent="0.2">
      <c r="N883" s="21"/>
      <c r="Q883" s="21"/>
      <c r="T883" s="21"/>
      <c r="V883" s="21"/>
      <c r="Y883" s="21"/>
    </row>
    <row r="884" spans="14:25" x14ac:dyDescent="0.2">
      <c r="N884" s="21"/>
      <c r="Q884" s="21"/>
      <c r="T884" s="21"/>
      <c r="V884" s="21"/>
      <c r="Y884" s="21"/>
    </row>
    <row r="885" spans="14:25" x14ac:dyDescent="0.2">
      <c r="N885" s="21"/>
      <c r="Q885" s="21"/>
      <c r="T885" s="21"/>
      <c r="V885" s="21"/>
      <c r="Y885" s="21"/>
    </row>
    <row r="886" spans="14:25" x14ac:dyDescent="0.2">
      <c r="N886" s="21"/>
      <c r="Q886" s="21"/>
      <c r="T886" s="21"/>
      <c r="V886" s="21"/>
      <c r="Y886" s="21"/>
    </row>
    <row r="887" spans="14:25" x14ac:dyDescent="0.2">
      <c r="N887" s="21"/>
      <c r="Q887" s="21"/>
      <c r="T887" s="21"/>
      <c r="V887" s="21"/>
      <c r="Y887" s="21"/>
    </row>
    <row r="888" spans="14:25" x14ac:dyDescent="0.2">
      <c r="N888" s="21"/>
      <c r="Q888" s="21"/>
      <c r="T888" s="21"/>
      <c r="V888" s="21"/>
      <c r="Y888" s="21"/>
    </row>
    <row r="889" spans="14:25" x14ac:dyDescent="0.2">
      <c r="N889" s="21"/>
      <c r="Q889" s="21"/>
      <c r="T889" s="21"/>
      <c r="V889" s="21"/>
      <c r="Y889" s="21"/>
    </row>
    <row r="890" spans="14:25" x14ac:dyDescent="0.2">
      <c r="N890" s="21"/>
      <c r="Q890" s="21"/>
      <c r="T890" s="21"/>
      <c r="V890" s="21"/>
      <c r="Y890" s="21"/>
    </row>
    <row r="891" spans="14:25" x14ac:dyDescent="0.2">
      <c r="N891" s="21"/>
      <c r="Q891" s="21"/>
      <c r="T891" s="21"/>
      <c r="V891" s="21"/>
      <c r="Y891" s="21"/>
    </row>
    <row r="892" spans="14:25" x14ac:dyDescent="0.2">
      <c r="N892" s="21"/>
      <c r="Q892" s="21"/>
      <c r="T892" s="21"/>
      <c r="V892" s="21"/>
      <c r="Y892" s="21"/>
    </row>
    <row r="893" spans="14:25" x14ac:dyDescent="0.2">
      <c r="N893" s="21"/>
      <c r="Q893" s="21"/>
      <c r="T893" s="21"/>
      <c r="V893" s="21"/>
      <c r="Y893" s="21"/>
    </row>
    <row r="894" spans="14:25" x14ac:dyDescent="0.2">
      <c r="N894" s="21"/>
      <c r="Q894" s="21"/>
      <c r="T894" s="21"/>
      <c r="V894" s="21"/>
      <c r="Y894" s="21"/>
    </row>
    <row r="895" spans="14:25" x14ac:dyDescent="0.2">
      <c r="N895" s="21"/>
      <c r="Q895" s="21"/>
      <c r="T895" s="21"/>
      <c r="V895" s="21"/>
      <c r="Y895" s="21"/>
    </row>
    <row r="896" spans="14:25" x14ac:dyDescent="0.2">
      <c r="N896" s="21"/>
      <c r="Q896" s="21"/>
      <c r="T896" s="21"/>
      <c r="V896" s="21"/>
      <c r="Y896" s="21"/>
    </row>
    <row r="897" spans="14:25" x14ac:dyDescent="0.2">
      <c r="N897" s="21"/>
      <c r="Q897" s="21"/>
      <c r="T897" s="21"/>
      <c r="V897" s="21"/>
      <c r="Y897" s="21"/>
    </row>
    <row r="898" spans="14:25" x14ac:dyDescent="0.2">
      <c r="N898" s="21"/>
      <c r="Q898" s="21"/>
      <c r="T898" s="21"/>
      <c r="V898" s="21"/>
      <c r="Y898" s="21"/>
    </row>
    <row r="899" spans="14:25" x14ac:dyDescent="0.2">
      <c r="N899" s="21"/>
      <c r="Q899" s="21"/>
      <c r="T899" s="21"/>
      <c r="V899" s="21"/>
      <c r="Y899" s="21"/>
    </row>
    <row r="900" spans="14:25" x14ac:dyDescent="0.2">
      <c r="N900" s="21"/>
      <c r="Q900" s="21"/>
      <c r="T900" s="21"/>
      <c r="V900" s="21"/>
      <c r="Y900" s="21"/>
    </row>
    <row r="901" spans="14:25" x14ac:dyDescent="0.2">
      <c r="N901" s="21"/>
      <c r="Q901" s="21"/>
      <c r="T901" s="21"/>
      <c r="V901" s="21"/>
      <c r="Y901" s="21"/>
    </row>
    <row r="902" spans="14:25" x14ac:dyDescent="0.2">
      <c r="N902" s="21"/>
      <c r="Q902" s="21"/>
      <c r="T902" s="21"/>
      <c r="V902" s="21"/>
      <c r="Y902" s="21"/>
    </row>
    <row r="903" spans="14:25" x14ac:dyDescent="0.2">
      <c r="N903" s="21"/>
      <c r="Q903" s="21"/>
      <c r="T903" s="21"/>
      <c r="V903" s="21"/>
      <c r="Y903" s="21"/>
    </row>
    <row r="904" spans="14:25" x14ac:dyDescent="0.2">
      <c r="N904" s="21"/>
      <c r="Q904" s="21"/>
      <c r="T904" s="21"/>
      <c r="V904" s="21"/>
      <c r="Y904" s="21"/>
    </row>
    <row r="905" spans="14:25" x14ac:dyDescent="0.2">
      <c r="N905" s="21"/>
      <c r="Q905" s="21"/>
      <c r="T905" s="21"/>
      <c r="V905" s="21"/>
      <c r="Y905" s="21"/>
    </row>
    <row r="906" spans="14:25" x14ac:dyDescent="0.2">
      <c r="N906" s="21"/>
      <c r="Q906" s="21"/>
      <c r="T906" s="21"/>
      <c r="V906" s="21"/>
      <c r="Y906" s="21"/>
    </row>
    <row r="907" spans="14:25" x14ac:dyDescent="0.2">
      <c r="N907" s="21"/>
      <c r="Q907" s="21"/>
      <c r="T907" s="21"/>
      <c r="V907" s="21"/>
      <c r="Y907" s="21"/>
    </row>
    <row r="908" spans="14:25" x14ac:dyDescent="0.2">
      <c r="N908" s="21"/>
      <c r="Q908" s="21"/>
      <c r="T908" s="21"/>
      <c r="V908" s="21"/>
      <c r="Y908" s="21"/>
    </row>
    <row r="909" spans="14:25" x14ac:dyDescent="0.2">
      <c r="N909" s="21"/>
      <c r="Q909" s="21"/>
      <c r="T909" s="21"/>
      <c r="V909" s="21"/>
      <c r="Y909" s="21"/>
    </row>
    <row r="910" spans="14:25" x14ac:dyDescent="0.2">
      <c r="N910" s="21"/>
      <c r="Q910" s="21"/>
      <c r="T910" s="21"/>
      <c r="V910" s="21"/>
      <c r="Y910" s="21"/>
    </row>
    <row r="911" spans="14:25" x14ac:dyDescent="0.2">
      <c r="N911" s="21"/>
      <c r="Q911" s="21"/>
      <c r="T911" s="21"/>
      <c r="V911" s="21"/>
      <c r="Y911" s="21"/>
    </row>
    <row r="912" spans="14:25" x14ac:dyDescent="0.2">
      <c r="N912" s="21"/>
      <c r="Q912" s="21"/>
      <c r="T912" s="21"/>
      <c r="V912" s="21"/>
      <c r="Y912" s="21"/>
    </row>
    <row r="913" spans="14:25" x14ac:dyDescent="0.2">
      <c r="N913" s="21"/>
      <c r="Q913" s="21"/>
      <c r="T913" s="21"/>
      <c r="V913" s="21"/>
      <c r="Y913" s="21"/>
    </row>
    <row r="914" spans="14:25" x14ac:dyDescent="0.2">
      <c r="N914" s="21"/>
      <c r="Q914" s="21"/>
      <c r="T914" s="21"/>
      <c r="V914" s="21"/>
      <c r="Y914" s="21"/>
    </row>
    <row r="915" spans="14:25" x14ac:dyDescent="0.2">
      <c r="N915" s="21"/>
      <c r="Q915" s="21"/>
      <c r="T915" s="21"/>
      <c r="V915" s="21"/>
      <c r="Y915" s="21"/>
    </row>
    <row r="916" spans="14:25" x14ac:dyDescent="0.2">
      <c r="N916" s="21"/>
      <c r="Q916" s="21"/>
      <c r="T916" s="21"/>
      <c r="V916" s="21"/>
      <c r="Y916" s="21"/>
    </row>
    <row r="917" spans="14:25" x14ac:dyDescent="0.2">
      <c r="N917" s="21"/>
      <c r="Q917" s="21"/>
      <c r="T917" s="21"/>
      <c r="V917" s="21"/>
      <c r="Y917" s="21"/>
    </row>
    <row r="918" spans="14:25" x14ac:dyDescent="0.2">
      <c r="N918" s="21"/>
      <c r="Q918" s="21"/>
      <c r="T918" s="21"/>
      <c r="V918" s="21"/>
      <c r="Y918" s="21"/>
    </row>
    <row r="919" spans="14:25" x14ac:dyDescent="0.2">
      <c r="N919" s="21"/>
      <c r="Q919" s="21"/>
      <c r="T919" s="21"/>
      <c r="V919" s="21"/>
      <c r="Y919" s="21"/>
    </row>
    <row r="920" spans="14:25" x14ac:dyDescent="0.2">
      <c r="N920" s="21"/>
      <c r="Q920" s="21"/>
      <c r="T920" s="21"/>
      <c r="V920" s="21"/>
      <c r="Y920" s="21"/>
    </row>
    <row r="921" spans="14:25" x14ac:dyDescent="0.2">
      <c r="N921" s="21"/>
      <c r="Q921" s="21"/>
      <c r="T921" s="21"/>
      <c r="V921" s="21"/>
      <c r="Y921" s="21"/>
    </row>
    <row r="922" spans="14:25" x14ac:dyDescent="0.2">
      <c r="N922" s="21"/>
      <c r="Q922" s="21"/>
      <c r="T922" s="21"/>
      <c r="V922" s="21"/>
      <c r="Y922" s="21"/>
    </row>
    <row r="923" spans="14:25" x14ac:dyDescent="0.2">
      <c r="N923" s="21"/>
      <c r="Q923" s="21"/>
      <c r="T923" s="21"/>
      <c r="V923" s="21"/>
      <c r="Y923" s="21"/>
    </row>
    <row r="924" spans="14:25" x14ac:dyDescent="0.2">
      <c r="N924" s="21"/>
      <c r="Q924" s="21"/>
      <c r="T924" s="21"/>
      <c r="V924" s="21"/>
      <c r="Y924" s="21"/>
    </row>
    <row r="925" spans="14:25" x14ac:dyDescent="0.2">
      <c r="N925" s="21"/>
      <c r="Q925" s="21"/>
      <c r="T925" s="21"/>
      <c r="V925" s="21"/>
      <c r="Y925" s="21"/>
    </row>
    <row r="926" spans="14:25" x14ac:dyDescent="0.2">
      <c r="N926" s="21"/>
      <c r="Q926" s="21"/>
      <c r="T926" s="21"/>
      <c r="V926" s="21"/>
      <c r="Y926" s="21"/>
    </row>
    <row r="927" spans="14:25" x14ac:dyDescent="0.2">
      <c r="N927" s="21"/>
      <c r="Q927" s="21"/>
      <c r="T927" s="21"/>
      <c r="V927" s="21"/>
      <c r="Y927" s="21"/>
    </row>
    <row r="928" spans="14:25" x14ac:dyDescent="0.2">
      <c r="N928" s="21"/>
      <c r="Q928" s="21"/>
      <c r="T928" s="21"/>
      <c r="V928" s="21"/>
      <c r="Y928" s="21"/>
    </row>
    <row r="929" spans="14:25" x14ac:dyDescent="0.2">
      <c r="N929" s="21"/>
      <c r="Q929" s="21"/>
      <c r="T929" s="21"/>
      <c r="V929" s="21"/>
      <c r="Y929" s="21"/>
    </row>
    <row r="930" spans="14:25" x14ac:dyDescent="0.2">
      <c r="N930" s="21"/>
      <c r="Q930" s="21"/>
      <c r="T930" s="21"/>
      <c r="V930" s="21"/>
      <c r="Y930" s="21"/>
    </row>
    <row r="931" spans="14:25" x14ac:dyDescent="0.2">
      <c r="N931" s="21"/>
      <c r="Q931" s="21"/>
      <c r="T931" s="21"/>
      <c r="V931" s="21"/>
      <c r="Y931" s="21"/>
    </row>
    <row r="932" spans="14:25" x14ac:dyDescent="0.2">
      <c r="N932" s="21"/>
      <c r="Q932" s="21"/>
      <c r="T932" s="21"/>
      <c r="V932" s="21"/>
      <c r="Y932" s="21"/>
    </row>
    <row r="933" spans="14:25" x14ac:dyDescent="0.2">
      <c r="N933" s="21"/>
      <c r="Q933" s="21"/>
      <c r="T933" s="21"/>
      <c r="V933" s="21"/>
      <c r="Y933" s="21"/>
    </row>
    <row r="934" spans="14:25" x14ac:dyDescent="0.2">
      <c r="N934" s="21"/>
      <c r="Q934" s="21"/>
      <c r="T934" s="21"/>
      <c r="V934" s="21"/>
      <c r="Y934" s="21"/>
    </row>
    <row r="935" spans="14:25" x14ac:dyDescent="0.2">
      <c r="N935" s="21"/>
      <c r="Q935" s="21"/>
      <c r="T935" s="21"/>
      <c r="V935" s="21"/>
      <c r="Y935" s="21"/>
    </row>
    <row r="936" spans="14:25" x14ac:dyDescent="0.2">
      <c r="N936" s="21"/>
      <c r="Q936" s="21"/>
      <c r="T936" s="21"/>
      <c r="V936" s="21"/>
      <c r="Y936" s="21"/>
    </row>
    <row r="937" spans="14:25" x14ac:dyDescent="0.2">
      <c r="N937" s="21"/>
      <c r="Q937" s="21"/>
      <c r="T937" s="21"/>
      <c r="V937" s="21"/>
      <c r="Y937" s="21"/>
    </row>
    <row r="938" spans="14:25" x14ac:dyDescent="0.2">
      <c r="N938" s="21"/>
      <c r="Q938" s="21"/>
      <c r="T938" s="21"/>
      <c r="V938" s="21"/>
      <c r="Y938" s="21"/>
    </row>
    <row r="939" spans="14:25" x14ac:dyDescent="0.2">
      <c r="N939" s="21"/>
      <c r="Q939" s="21"/>
      <c r="T939" s="21"/>
      <c r="V939" s="21"/>
      <c r="Y939" s="21"/>
    </row>
    <row r="940" spans="14:25" x14ac:dyDescent="0.2">
      <c r="N940" s="21"/>
      <c r="Q940" s="21"/>
      <c r="T940" s="21"/>
      <c r="V940" s="21"/>
      <c r="Y940" s="21"/>
    </row>
    <row r="941" spans="14:25" x14ac:dyDescent="0.2">
      <c r="N941" s="21"/>
      <c r="Q941" s="21"/>
      <c r="T941" s="21"/>
      <c r="V941" s="21"/>
      <c r="Y941" s="21"/>
    </row>
    <row r="942" spans="14:25" x14ac:dyDescent="0.2">
      <c r="N942" s="21"/>
      <c r="Q942" s="21"/>
      <c r="T942" s="21"/>
      <c r="V942" s="21"/>
      <c r="Y942" s="21"/>
    </row>
    <row r="943" spans="14:25" x14ac:dyDescent="0.2">
      <c r="N943" s="21"/>
      <c r="Q943" s="21"/>
      <c r="T943" s="21"/>
      <c r="V943" s="21"/>
      <c r="Y943" s="21"/>
    </row>
    <row r="944" spans="14:25" x14ac:dyDescent="0.2">
      <c r="N944" s="21"/>
      <c r="Q944" s="21"/>
      <c r="T944" s="21"/>
      <c r="V944" s="21"/>
      <c r="Y944" s="21"/>
    </row>
    <row r="945" spans="14:25" x14ac:dyDescent="0.2">
      <c r="N945" s="21"/>
      <c r="Q945" s="21"/>
      <c r="T945" s="21"/>
      <c r="V945" s="21"/>
      <c r="Y945" s="21"/>
    </row>
    <row r="946" spans="14:25" x14ac:dyDescent="0.2">
      <c r="N946" s="21"/>
      <c r="Q946" s="21"/>
      <c r="T946" s="21"/>
      <c r="V946" s="21"/>
      <c r="Y946" s="21"/>
    </row>
    <row r="947" spans="14:25" x14ac:dyDescent="0.2">
      <c r="N947" s="21"/>
      <c r="Q947" s="21"/>
      <c r="T947" s="21"/>
      <c r="V947" s="21"/>
      <c r="Y947" s="21"/>
    </row>
    <row r="948" spans="14:25" x14ac:dyDescent="0.2">
      <c r="N948" s="21"/>
      <c r="Q948" s="21"/>
      <c r="T948" s="21"/>
      <c r="V948" s="21"/>
      <c r="Y948" s="21"/>
    </row>
    <row r="949" spans="14:25" x14ac:dyDescent="0.2">
      <c r="N949" s="21"/>
      <c r="Q949" s="21"/>
      <c r="T949" s="21"/>
      <c r="V949" s="21"/>
      <c r="Y949" s="21"/>
    </row>
    <row r="950" spans="14:25" x14ac:dyDescent="0.2">
      <c r="N950" s="21"/>
      <c r="Q950" s="21"/>
      <c r="T950" s="21"/>
      <c r="V950" s="21"/>
      <c r="Y950" s="21"/>
    </row>
    <row r="951" spans="14:25" x14ac:dyDescent="0.2">
      <c r="N951" s="21"/>
      <c r="Q951" s="21"/>
      <c r="T951" s="21"/>
      <c r="V951" s="21"/>
      <c r="Y951" s="21"/>
    </row>
    <row r="952" spans="14:25" x14ac:dyDescent="0.2">
      <c r="N952" s="21"/>
      <c r="Q952" s="21"/>
      <c r="T952" s="21"/>
      <c r="V952" s="21"/>
      <c r="Y952" s="21"/>
    </row>
    <row r="953" spans="14:25" x14ac:dyDescent="0.2">
      <c r="N953" s="21"/>
      <c r="Q953" s="21"/>
      <c r="T953" s="21"/>
      <c r="V953" s="21"/>
      <c r="Y953" s="21"/>
    </row>
    <row r="954" spans="14:25" x14ac:dyDescent="0.2">
      <c r="N954" s="21"/>
      <c r="Q954" s="21"/>
      <c r="T954" s="21"/>
      <c r="V954" s="21"/>
      <c r="Y954" s="21"/>
    </row>
    <row r="955" spans="14:25" x14ac:dyDescent="0.2">
      <c r="N955" s="21"/>
      <c r="Q955" s="21"/>
      <c r="T955" s="21"/>
      <c r="V955" s="21"/>
      <c r="Y955" s="21"/>
    </row>
    <row r="956" spans="14:25" x14ac:dyDescent="0.2">
      <c r="N956" s="21"/>
      <c r="Q956" s="21"/>
      <c r="T956" s="21"/>
      <c r="V956" s="21"/>
      <c r="Y956" s="21"/>
    </row>
    <row r="957" spans="14:25" x14ac:dyDescent="0.2">
      <c r="N957" s="21"/>
      <c r="Q957" s="21"/>
      <c r="T957" s="21"/>
      <c r="V957" s="21"/>
      <c r="Y957" s="21"/>
    </row>
    <row r="958" spans="14:25" x14ac:dyDescent="0.2">
      <c r="N958" s="21"/>
      <c r="Q958" s="21"/>
      <c r="T958" s="21"/>
      <c r="V958" s="21"/>
      <c r="Y958" s="21"/>
    </row>
    <row r="959" spans="14:25" x14ac:dyDescent="0.2">
      <c r="N959" s="21"/>
      <c r="Q959" s="21"/>
      <c r="T959" s="21"/>
      <c r="V959" s="21"/>
      <c r="Y959" s="21"/>
    </row>
    <row r="960" spans="14:25" x14ac:dyDescent="0.2">
      <c r="N960" s="21"/>
      <c r="Q960" s="21"/>
      <c r="T960" s="21"/>
      <c r="V960" s="21"/>
      <c r="Y960" s="21"/>
    </row>
    <row r="961" spans="14:25" x14ac:dyDescent="0.2">
      <c r="N961" s="21"/>
      <c r="Q961" s="21"/>
      <c r="T961" s="21"/>
      <c r="V961" s="21"/>
      <c r="Y961" s="21"/>
    </row>
    <row r="962" spans="14:25" x14ac:dyDescent="0.2">
      <c r="N962" s="21"/>
      <c r="Q962" s="21"/>
      <c r="T962" s="21"/>
      <c r="V962" s="21"/>
      <c r="Y962" s="21"/>
    </row>
    <row r="963" spans="14:25" x14ac:dyDescent="0.2">
      <c r="N963" s="21"/>
      <c r="Q963" s="21"/>
      <c r="T963" s="21"/>
      <c r="V963" s="21"/>
      <c r="Y963" s="21"/>
    </row>
    <row r="964" spans="14:25" x14ac:dyDescent="0.2">
      <c r="N964" s="21"/>
      <c r="Q964" s="21"/>
      <c r="T964" s="21"/>
      <c r="V964" s="21"/>
      <c r="Y964" s="21"/>
    </row>
    <row r="965" spans="14:25" x14ac:dyDescent="0.2">
      <c r="N965" s="21"/>
      <c r="Q965" s="21"/>
      <c r="T965" s="21"/>
      <c r="V965" s="21"/>
      <c r="Y965" s="21"/>
    </row>
    <row r="966" spans="14:25" x14ac:dyDescent="0.2">
      <c r="N966" s="21"/>
      <c r="Q966" s="21"/>
      <c r="T966" s="21"/>
      <c r="V966" s="21"/>
      <c r="Y966" s="21"/>
    </row>
    <row r="967" spans="14:25" x14ac:dyDescent="0.2">
      <c r="N967" s="21"/>
      <c r="Q967" s="21"/>
      <c r="T967" s="21"/>
      <c r="V967" s="21"/>
      <c r="Y967" s="21"/>
    </row>
    <row r="968" spans="14:25" x14ac:dyDescent="0.2">
      <c r="N968" s="21"/>
      <c r="Q968" s="21"/>
      <c r="T968" s="21"/>
      <c r="V968" s="21"/>
      <c r="Y968" s="21"/>
    </row>
    <row r="969" spans="14:25" x14ac:dyDescent="0.2">
      <c r="N969" s="21"/>
      <c r="Q969" s="21"/>
      <c r="T969" s="21"/>
      <c r="V969" s="21"/>
      <c r="Y969" s="21"/>
    </row>
    <row r="970" spans="14:25" x14ac:dyDescent="0.2">
      <c r="N970" s="21"/>
      <c r="Q970" s="21"/>
      <c r="T970" s="21"/>
      <c r="V970" s="21"/>
      <c r="Y970" s="21"/>
    </row>
    <row r="971" spans="14:25" x14ac:dyDescent="0.2">
      <c r="N971" s="21"/>
      <c r="Q971" s="21"/>
      <c r="T971" s="21"/>
      <c r="V971" s="21"/>
      <c r="Y971" s="21"/>
    </row>
    <row r="972" spans="14:25" x14ac:dyDescent="0.2">
      <c r="N972" s="21"/>
      <c r="Q972" s="21"/>
      <c r="T972" s="21"/>
      <c r="V972" s="21"/>
      <c r="Y972" s="21"/>
    </row>
    <row r="973" spans="14:25" x14ac:dyDescent="0.2">
      <c r="N973" s="21"/>
      <c r="Q973" s="21"/>
      <c r="T973" s="21"/>
      <c r="V973" s="21"/>
      <c r="Y973" s="21"/>
    </row>
    <row r="974" spans="14:25" x14ac:dyDescent="0.2">
      <c r="N974" s="21"/>
      <c r="Q974" s="21"/>
      <c r="T974" s="21"/>
      <c r="V974" s="21"/>
      <c r="Y974" s="21"/>
    </row>
    <row r="975" spans="14:25" x14ac:dyDescent="0.2">
      <c r="N975" s="21"/>
      <c r="Q975" s="21"/>
      <c r="T975" s="21"/>
      <c r="V975" s="21"/>
      <c r="Y975" s="21"/>
    </row>
    <row r="976" spans="14:25" x14ac:dyDescent="0.2">
      <c r="N976" s="21"/>
      <c r="Q976" s="21"/>
      <c r="T976" s="21"/>
      <c r="V976" s="21"/>
      <c r="Y976" s="21"/>
    </row>
    <row r="977" spans="14:25" x14ac:dyDescent="0.2">
      <c r="N977" s="21"/>
      <c r="Q977" s="21"/>
      <c r="T977" s="21"/>
      <c r="V977" s="21"/>
      <c r="Y977" s="21"/>
    </row>
    <row r="978" spans="14:25" x14ac:dyDescent="0.2">
      <c r="N978" s="21"/>
      <c r="Q978" s="21"/>
      <c r="T978" s="21"/>
      <c r="V978" s="21"/>
      <c r="Y978" s="21"/>
    </row>
    <row r="979" spans="14:25" x14ac:dyDescent="0.2">
      <c r="N979" s="21"/>
      <c r="Q979" s="21"/>
      <c r="T979" s="21"/>
      <c r="V979" s="21"/>
      <c r="Y979" s="21"/>
    </row>
    <row r="980" spans="14:25" x14ac:dyDescent="0.2">
      <c r="N980" s="21"/>
      <c r="Q980" s="21"/>
      <c r="T980" s="21"/>
      <c r="V980" s="21"/>
      <c r="Y980" s="21"/>
    </row>
    <row r="981" spans="14:25" x14ac:dyDescent="0.2">
      <c r="N981" s="21"/>
      <c r="Q981" s="21"/>
      <c r="T981" s="21"/>
      <c r="V981" s="21"/>
      <c r="Y981" s="21"/>
    </row>
    <row r="982" spans="14:25" x14ac:dyDescent="0.2">
      <c r="N982" s="21"/>
      <c r="Q982" s="21"/>
      <c r="T982" s="21"/>
      <c r="V982" s="21"/>
      <c r="Y982" s="21"/>
    </row>
    <row r="983" spans="14:25" x14ac:dyDescent="0.2">
      <c r="N983" s="21"/>
      <c r="Q983" s="21"/>
      <c r="T983" s="21"/>
      <c r="V983" s="21"/>
      <c r="Y983" s="21"/>
    </row>
    <row r="984" spans="14:25" x14ac:dyDescent="0.2">
      <c r="N984" s="21"/>
      <c r="Q984" s="21"/>
      <c r="T984" s="21"/>
      <c r="V984" s="21"/>
      <c r="Y984" s="21"/>
    </row>
    <row r="985" spans="14:25" x14ac:dyDescent="0.2">
      <c r="N985" s="21"/>
      <c r="Q985" s="21"/>
      <c r="T985" s="21"/>
      <c r="V985" s="21"/>
      <c r="Y985" s="21"/>
    </row>
    <row r="986" spans="14:25" x14ac:dyDescent="0.2">
      <c r="N986" s="21"/>
      <c r="Q986" s="21"/>
      <c r="T986" s="21"/>
      <c r="V986" s="21"/>
      <c r="Y986" s="21"/>
    </row>
    <row r="987" spans="14:25" x14ac:dyDescent="0.2">
      <c r="N987" s="21"/>
      <c r="Q987" s="21"/>
      <c r="T987" s="21"/>
      <c r="V987" s="21"/>
      <c r="Y987" s="21"/>
    </row>
    <row r="988" spans="14:25" x14ac:dyDescent="0.2">
      <c r="N988" s="21"/>
      <c r="Q988" s="21"/>
      <c r="T988" s="21"/>
      <c r="V988" s="21"/>
      <c r="Y988" s="21"/>
    </row>
    <row r="989" spans="14:25" x14ac:dyDescent="0.2">
      <c r="N989" s="21"/>
      <c r="Q989" s="21"/>
      <c r="T989" s="21"/>
      <c r="V989" s="21"/>
      <c r="Y989" s="21"/>
    </row>
    <row r="990" spans="14:25" x14ac:dyDescent="0.2">
      <c r="N990" s="21"/>
      <c r="Q990" s="21"/>
      <c r="T990" s="21"/>
      <c r="V990" s="21"/>
      <c r="Y990" s="21"/>
    </row>
    <row r="991" spans="14:25" x14ac:dyDescent="0.2">
      <c r="N991" s="21"/>
      <c r="Q991" s="21"/>
      <c r="T991" s="21"/>
      <c r="V991" s="21"/>
      <c r="Y991" s="21"/>
    </row>
    <row r="992" spans="14:25" x14ac:dyDescent="0.2">
      <c r="N992" s="21"/>
      <c r="Q992" s="21"/>
      <c r="T992" s="21"/>
      <c r="V992" s="21"/>
      <c r="Y992" s="21"/>
    </row>
    <row r="993" spans="14:25" x14ac:dyDescent="0.2">
      <c r="N993" s="21"/>
      <c r="Q993" s="21"/>
      <c r="T993" s="21"/>
      <c r="V993" s="21"/>
      <c r="Y993" s="21"/>
    </row>
    <row r="994" spans="14:25" x14ac:dyDescent="0.2">
      <c r="N994" s="21"/>
      <c r="Q994" s="21"/>
      <c r="T994" s="21"/>
      <c r="V994" s="21"/>
      <c r="Y994" s="21"/>
    </row>
    <row r="995" spans="14:25" x14ac:dyDescent="0.2">
      <c r="N995" s="21"/>
      <c r="Q995" s="21"/>
      <c r="T995" s="21"/>
      <c r="V995" s="21"/>
      <c r="Y995" s="21"/>
    </row>
    <row r="996" spans="14:25" x14ac:dyDescent="0.2">
      <c r="N996" s="21"/>
      <c r="Q996" s="21"/>
      <c r="T996" s="21"/>
      <c r="V996" s="21"/>
      <c r="Y996" s="21"/>
    </row>
    <row r="997" spans="14:25" x14ac:dyDescent="0.2">
      <c r="N997" s="21"/>
      <c r="Q997" s="21"/>
      <c r="T997" s="21"/>
      <c r="V997" s="21"/>
      <c r="Y997" s="21"/>
    </row>
    <row r="998" spans="14:25" x14ac:dyDescent="0.2">
      <c r="N998" s="21"/>
      <c r="Q998" s="21"/>
      <c r="T998" s="21"/>
      <c r="V998" s="21"/>
      <c r="Y998" s="21"/>
    </row>
    <row r="999" spans="14:25" x14ac:dyDescent="0.2">
      <c r="N999" s="21"/>
      <c r="Q999" s="21"/>
      <c r="T999" s="21"/>
      <c r="V999" s="21"/>
      <c r="Y999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1"/>
  <sheetViews>
    <sheetView workbookViewId="0"/>
  </sheetViews>
  <sheetFormatPr defaultColWidth="12.5703125" defaultRowHeight="15.75" customHeight="1" x14ac:dyDescent="0.2"/>
  <sheetData>
    <row r="1" spans="1:11" x14ac:dyDescent="0.2">
      <c r="A1" s="1" t="s">
        <v>0</v>
      </c>
      <c r="B1" s="2" t="s">
        <v>7</v>
      </c>
      <c r="C1" s="3" t="s">
        <v>8</v>
      </c>
      <c r="D1" s="2" t="s">
        <v>13</v>
      </c>
      <c r="E1" s="3" t="s">
        <v>14</v>
      </c>
      <c r="F1" s="3" t="s">
        <v>22</v>
      </c>
      <c r="G1" s="2" t="s">
        <v>23</v>
      </c>
      <c r="H1" s="4" t="s">
        <v>26</v>
      </c>
      <c r="I1" s="2" t="s">
        <v>27</v>
      </c>
      <c r="J1" s="6" t="s">
        <v>78</v>
      </c>
      <c r="K1" s="6" t="s">
        <v>79</v>
      </c>
    </row>
    <row r="2" spans="1:11" x14ac:dyDescent="0.2">
      <c r="A2" s="18">
        <v>1</v>
      </c>
      <c r="B2" s="7" t="s">
        <v>30</v>
      </c>
      <c r="C2" s="8">
        <v>140</v>
      </c>
      <c r="D2" s="7">
        <v>256</v>
      </c>
      <c r="E2" s="8">
        <v>114</v>
      </c>
      <c r="F2" s="8">
        <v>91</v>
      </c>
      <c r="G2" s="7">
        <v>199</v>
      </c>
      <c r="H2" s="9">
        <v>51</v>
      </c>
      <c r="I2" s="7">
        <v>104</v>
      </c>
      <c r="J2" s="6">
        <f t="shared" ref="J2:J21" si="0">SUM(B2:I2)</f>
        <v>955</v>
      </c>
      <c r="K2" s="6">
        <f t="shared" ref="K2:K21" si="1">J2/10</f>
        <v>95.5</v>
      </c>
    </row>
    <row r="3" spans="1:11" x14ac:dyDescent="0.2">
      <c r="A3" s="18">
        <v>2</v>
      </c>
      <c r="B3" s="7">
        <v>145</v>
      </c>
      <c r="C3" s="8">
        <v>215</v>
      </c>
      <c r="D3" s="7">
        <v>222</v>
      </c>
      <c r="E3" s="8" t="s">
        <v>30</v>
      </c>
      <c r="F3" s="8">
        <v>93</v>
      </c>
      <c r="G3" s="7">
        <v>217</v>
      </c>
      <c r="H3" s="9">
        <v>67</v>
      </c>
      <c r="I3" s="7">
        <v>131</v>
      </c>
      <c r="J3" s="6">
        <f t="shared" si="0"/>
        <v>1090</v>
      </c>
      <c r="K3" s="6">
        <f t="shared" si="1"/>
        <v>109</v>
      </c>
    </row>
    <row r="4" spans="1:11" x14ac:dyDescent="0.2">
      <c r="A4" s="18">
        <v>3</v>
      </c>
      <c r="B4" s="7" t="s">
        <v>30</v>
      </c>
      <c r="C4" s="8">
        <v>150</v>
      </c>
      <c r="D4" s="7">
        <v>289</v>
      </c>
      <c r="E4" s="8">
        <v>131</v>
      </c>
      <c r="F4" s="8">
        <v>110</v>
      </c>
      <c r="G4" s="7">
        <v>240</v>
      </c>
      <c r="H4" s="9">
        <v>72</v>
      </c>
      <c r="I4" s="7">
        <v>124</v>
      </c>
      <c r="J4" s="6">
        <f t="shared" si="0"/>
        <v>1116</v>
      </c>
      <c r="K4" s="6">
        <f t="shared" si="1"/>
        <v>111.6</v>
      </c>
    </row>
    <row r="5" spans="1:11" x14ac:dyDescent="0.2">
      <c r="A5" s="6">
        <v>4</v>
      </c>
      <c r="B5" s="7">
        <v>163</v>
      </c>
      <c r="C5" s="8">
        <v>310</v>
      </c>
      <c r="D5" s="7">
        <v>458</v>
      </c>
      <c r="E5" s="8">
        <v>179</v>
      </c>
      <c r="F5" s="8">
        <v>94</v>
      </c>
      <c r="G5" s="7">
        <v>200</v>
      </c>
      <c r="H5" s="9">
        <v>69</v>
      </c>
      <c r="I5" s="7">
        <v>130</v>
      </c>
      <c r="J5" s="6">
        <f t="shared" si="0"/>
        <v>1603</v>
      </c>
      <c r="K5" s="6">
        <f t="shared" si="1"/>
        <v>160.30000000000001</v>
      </c>
    </row>
    <row r="6" spans="1:11" x14ac:dyDescent="0.2">
      <c r="A6" s="6">
        <v>5</v>
      </c>
      <c r="B6" s="7">
        <v>170</v>
      </c>
      <c r="C6" s="8">
        <v>333</v>
      </c>
      <c r="D6" s="7">
        <v>482</v>
      </c>
      <c r="E6" s="8">
        <v>142</v>
      </c>
      <c r="F6" s="8">
        <v>111</v>
      </c>
      <c r="G6" s="7">
        <v>236</v>
      </c>
      <c r="H6" s="9">
        <v>66</v>
      </c>
      <c r="I6" s="7">
        <v>135</v>
      </c>
      <c r="J6" s="6">
        <f t="shared" si="0"/>
        <v>1675</v>
      </c>
      <c r="K6" s="6">
        <f t="shared" si="1"/>
        <v>167.5</v>
      </c>
    </row>
    <row r="7" spans="1:11" x14ac:dyDescent="0.2">
      <c r="A7" s="6">
        <v>6</v>
      </c>
      <c r="B7" s="7">
        <v>203</v>
      </c>
      <c r="C7" s="8">
        <v>384</v>
      </c>
      <c r="D7" s="7">
        <v>532</v>
      </c>
      <c r="E7" s="8">
        <v>151</v>
      </c>
      <c r="F7" s="8">
        <v>109</v>
      </c>
      <c r="G7" s="7">
        <v>233</v>
      </c>
      <c r="H7" s="9">
        <v>66</v>
      </c>
      <c r="I7" s="7">
        <v>124</v>
      </c>
      <c r="J7" s="6">
        <f t="shared" si="0"/>
        <v>1802</v>
      </c>
      <c r="K7" s="6">
        <f t="shared" si="1"/>
        <v>180.2</v>
      </c>
    </row>
    <row r="8" spans="1:11" x14ac:dyDescent="0.2">
      <c r="A8" s="6">
        <v>7</v>
      </c>
      <c r="B8" s="7">
        <v>185</v>
      </c>
      <c r="C8" s="8">
        <v>339</v>
      </c>
      <c r="D8" s="7">
        <v>467</v>
      </c>
      <c r="E8" s="8">
        <v>131</v>
      </c>
      <c r="F8" s="8">
        <v>139</v>
      </c>
      <c r="G8" s="7">
        <v>260</v>
      </c>
      <c r="H8" s="9">
        <v>58</v>
      </c>
      <c r="I8" s="7">
        <v>113</v>
      </c>
      <c r="J8" s="6">
        <f t="shared" si="0"/>
        <v>1692</v>
      </c>
      <c r="K8" s="6">
        <f t="shared" si="1"/>
        <v>169.2</v>
      </c>
    </row>
    <row r="9" spans="1:11" x14ac:dyDescent="0.2">
      <c r="A9" s="6">
        <v>8</v>
      </c>
      <c r="B9" s="7">
        <v>140</v>
      </c>
      <c r="C9" s="8">
        <v>272</v>
      </c>
      <c r="D9" s="7">
        <v>390</v>
      </c>
      <c r="E9" s="8">
        <v>166</v>
      </c>
      <c r="F9" s="8">
        <v>132</v>
      </c>
      <c r="G9" s="7">
        <v>250</v>
      </c>
      <c r="H9" s="9">
        <v>61</v>
      </c>
      <c r="I9" s="7">
        <v>116</v>
      </c>
      <c r="J9" s="6">
        <f t="shared" si="0"/>
        <v>1527</v>
      </c>
      <c r="K9" s="6">
        <f t="shared" si="1"/>
        <v>152.69999999999999</v>
      </c>
    </row>
    <row r="10" spans="1:11" x14ac:dyDescent="0.2">
      <c r="A10" s="6">
        <v>9</v>
      </c>
      <c r="B10" s="7">
        <v>130</v>
      </c>
      <c r="C10" s="8">
        <v>280</v>
      </c>
      <c r="D10" s="7">
        <v>418</v>
      </c>
      <c r="E10" s="8">
        <v>159</v>
      </c>
      <c r="F10" s="8">
        <v>120</v>
      </c>
      <c r="G10" s="7">
        <v>233</v>
      </c>
      <c r="H10" s="9">
        <v>47</v>
      </c>
      <c r="I10" s="7">
        <v>93</v>
      </c>
      <c r="J10" s="6">
        <f t="shared" si="0"/>
        <v>1480</v>
      </c>
      <c r="K10" s="6">
        <f t="shared" si="1"/>
        <v>148</v>
      </c>
    </row>
    <row r="11" spans="1:11" x14ac:dyDescent="0.2">
      <c r="A11" s="6">
        <v>10</v>
      </c>
      <c r="B11" s="7">
        <v>151</v>
      </c>
      <c r="C11" s="8">
        <v>298</v>
      </c>
      <c r="D11" s="7">
        <v>435</v>
      </c>
      <c r="E11" s="8">
        <v>150</v>
      </c>
      <c r="F11" s="8">
        <v>116</v>
      </c>
      <c r="G11" s="7">
        <v>237</v>
      </c>
      <c r="H11" s="9">
        <v>77</v>
      </c>
      <c r="I11" s="7">
        <v>144</v>
      </c>
      <c r="J11" s="6">
        <f t="shared" si="0"/>
        <v>1608</v>
      </c>
      <c r="K11" s="6">
        <f t="shared" si="1"/>
        <v>160.80000000000001</v>
      </c>
    </row>
    <row r="12" spans="1:11" x14ac:dyDescent="0.2">
      <c r="A12" s="6">
        <v>11</v>
      </c>
      <c r="B12" s="7">
        <v>140</v>
      </c>
      <c r="C12" s="8">
        <v>276</v>
      </c>
      <c r="D12" s="7">
        <v>423</v>
      </c>
      <c r="E12" s="8">
        <v>148</v>
      </c>
      <c r="F12" s="8">
        <v>85</v>
      </c>
      <c r="G12" s="7">
        <v>169</v>
      </c>
      <c r="H12" s="9">
        <v>62</v>
      </c>
      <c r="I12" s="7">
        <v>131</v>
      </c>
      <c r="J12" s="6">
        <f t="shared" si="0"/>
        <v>1434</v>
      </c>
      <c r="K12" s="6">
        <f t="shared" si="1"/>
        <v>143.4</v>
      </c>
    </row>
    <row r="13" spans="1:11" x14ac:dyDescent="0.2">
      <c r="A13" s="6">
        <v>12</v>
      </c>
      <c r="B13" s="7">
        <v>66</v>
      </c>
      <c r="C13" s="8">
        <v>232</v>
      </c>
      <c r="D13" s="7">
        <v>371</v>
      </c>
      <c r="E13" s="8">
        <v>174</v>
      </c>
      <c r="F13" s="8">
        <v>162</v>
      </c>
      <c r="G13" s="7">
        <v>302</v>
      </c>
      <c r="H13" s="9">
        <v>93</v>
      </c>
      <c r="I13" s="7">
        <v>187</v>
      </c>
      <c r="J13" s="6">
        <f t="shared" si="0"/>
        <v>1587</v>
      </c>
      <c r="K13" s="6">
        <f t="shared" si="1"/>
        <v>158.69999999999999</v>
      </c>
    </row>
    <row r="14" spans="1:11" x14ac:dyDescent="0.2">
      <c r="A14" s="6">
        <v>13</v>
      </c>
      <c r="B14" s="7">
        <v>177</v>
      </c>
      <c r="C14" s="8">
        <v>333</v>
      </c>
      <c r="D14" s="7">
        <v>489</v>
      </c>
      <c r="E14" s="8">
        <v>161</v>
      </c>
      <c r="F14" s="8">
        <v>129</v>
      </c>
      <c r="G14" s="7">
        <v>258</v>
      </c>
      <c r="H14" s="9">
        <v>86</v>
      </c>
      <c r="I14" s="7">
        <v>158</v>
      </c>
      <c r="J14" s="6">
        <f t="shared" si="0"/>
        <v>1791</v>
      </c>
      <c r="K14" s="6">
        <f t="shared" si="1"/>
        <v>179.1</v>
      </c>
    </row>
    <row r="15" spans="1:11" x14ac:dyDescent="0.2">
      <c r="A15" s="6">
        <v>14</v>
      </c>
      <c r="B15" s="7">
        <v>68</v>
      </c>
      <c r="C15" s="8">
        <v>204</v>
      </c>
      <c r="D15" s="7">
        <v>405</v>
      </c>
      <c r="E15" s="8">
        <v>178</v>
      </c>
      <c r="F15" s="8">
        <v>146</v>
      </c>
      <c r="G15" s="7">
        <v>271</v>
      </c>
      <c r="H15" s="9">
        <v>79</v>
      </c>
      <c r="I15" s="7">
        <v>137</v>
      </c>
      <c r="J15" s="6">
        <f t="shared" si="0"/>
        <v>1488</v>
      </c>
      <c r="K15" s="6">
        <f t="shared" si="1"/>
        <v>148.80000000000001</v>
      </c>
    </row>
    <row r="16" spans="1:11" x14ac:dyDescent="0.2">
      <c r="A16" s="6">
        <v>15</v>
      </c>
      <c r="B16" s="7">
        <v>172</v>
      </c>
      <c r="C16" s="8">
        <v>314</v>
      </c>
      <c r="D16" s="7">
        <v>443</v>
      </c>
      <c r="E16" s="8">
        <v>139</v>
      </c>
      <c r="F16" s="8">
        <v>95</v>
      </c>
      <c r="G16" s="7">
        <v>225</v>
      </c>
      <c r="H16" s="9">
        <v>656</v>
      </c>
      <c r="I16" s="7">
        <v>133</v>
      </c>
      <c r="J16" s="6">
        <f t="shared" si="0"/>
        <v>2177</v>
      </c>
      <c r="K16" s="6">
        <f t="shared" si="1"/>
        <v>217.7</v>
      </c>
    </row>
    <row r="17" spans="1:11" x14ac:dyDescent="0.2">
      <c r="A17" s="6">
        <v>16</v>
      </c>
      <c r="B17" s="7">
        <v>221</v>
      </c>
      <c r="C17" s="8">
        <v>414</v>
      </c>
      <c r="D17" s="7">
        <v>579</v>
      </c>
      <c r="E17" s="8" t="s">
        <v>46</v>
      </c>
      <c r="F17" s="8">
        <v>150</v>
      </c>
      <c r="G17" s="7">
        <v>319</v>
      </c>
      <c r="H17" s="9">
        <v>81</v>
      </c>
      <c r="I17" s="7">
        <v>158</v>
      </c>
      <c r="J17" s="6">
        <f t="shared" si="0"/>
        <v>1922</v>
      </c>
      <c r="K17" s="6">
        <f t="shared" si="1"/>
        <v>192.2</v>
      </c>
    </row>
    <row r="18" spans="1:11" x14ac:dyDescent="0.2">
      <c r="A18" s="6">
        <v>17</v>
      </c>
      <c r="B18" s="7">
        <v>201</v>
      </c>
      <c r="C18" s="8">
        <v>371</v>
      </c>
      <c r="D18" s="7">
        <v>534</v>
      </c>
      <c r="E18" s="8">
        <v>166</v>
      </c>
      <c r="F18" s="8">
        <v>164</v>
      </c>
      <c r="G18" s="7">
        <v>324</v>
      </c>
      <c r="H18" s="9">
        <v>102</v>
      </c>
      <c r="I18" s="7">
        <v>214</v>
      </c>
      <c r="J18" s="6">
        <f t="shared" si="0"/>
        <v>2076</v>
      </c>
      <c r="K18" s="6">
        <f t="shared" si="1"/>
        <v>207.6</v>
      </c>
    </row>
    <row r="19" spans="1:11" x14ac:dyDescent="0.2">
      <c r="A19" s="6">
        <v>18</v>
      </c>
      <c r="B19" s="7">
        <v>140</v>
      </c>
      <c r="C19" s="8">
        <v>302</v>
      </c>
      <c r="D19" s="7">
        <v>444</v>
      </c>
      <c r="E19" s="8">
        <v>154</v>
      </c>
      <c r="F19" s="8">
        <v>161</v>
      </c>
      <c r="G19" s="7">
        <v>315</v>
      </c>
      <c r="H19" s="9">
        <v>89</v>
      </c>
      <c r="I19" s="7">
        <v>160</v>
      </c>
      <c r="J19" s="6">
        <f t="shared" si="0"/>
        <v>1765</v>
      </c>
      <c r="K19" s="6">
        <f t="shared" si="1"/>
        <v>176.5</v>
      </c>
    </row>
    <row r="20" spans="1:11" x14ac:dyDescent="0.2">
      <c r="A20" s="6">
        <v>19</v>
      </c>
      <c r="B20" s="7">
        <v>120</v>
      </c>
      <c r="C20" s="8">
        <v>262</v>
      </c>
      <c r="D20" s="7">
        <v>415</v>
      </c>
      <c r="E20" s="8">
        <v>144</v>
      </c>
      <c r="F20" s="8">
        <v>152</v>
      </c>
      <c r="G20" s="7">
        <v>287</v>
      </c>
      <c r="H20" s="9">
        <v>72</v>
      </c>
      <c r="I20" s="7">
        <v>133</v>
      </c>
      <c r="J20" s="6">
        <f t="shared" si="0"/>
        <v>1585</v>
      </c>
      <c r="K20" s="6">
        <f t="shared" si="1"/>
        <v>158.5</v>
      </c>
    </row>
    <row r="21" spans="1:11" x14ac:dyDescent="0.2">
      <c r="A21" s="6">
        <v>20</v>
      </c>
      <c r="B21" s="7">
        <v>181</v>
      </c>
      <c r="C21" s="8">
        <v>340</v>
      </c>
      <c r="D21" s="7">
        <v>509</v>
      </c>
      <c r="E21" s="8">
        <v>200</v>
      </c>
      <c r="F21" s="8">
        <v>143</v>
      </c>
      <c r="G21" s="7">
        <v>285</v>
      </c>
      <c r="H21" s="9">
        <v>69</v>
      </c>
      <c r="I21" s="7">
        <v>128</v>
      </c>
      <c r="J21" s="6">
        <f t="shared" si="0"/>
        <v>1855</v>
      </c>
      <c r="K21" s="6">
        <f t="shared" si="1"/>
        <v>185.5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2"/>
  <sheetViews>
    <sheetView workbookViewId="0"/>
  </sheetViews>
  <sheetFormatPr defaultColWidth="12.5703125" defaultRowHeight="15.75" customHeight="1" x14ac:dyDescent="0.2"/>
  <sheetData>
    <row r="1" spans="1:7" x14ac:dyDescent="0.2">
      <c r="A1" s="1"/>
      <c r="B1" s="1" t="s">
        <v>81</v>
      </c>
      <c r="C1" s="1"/>
      <c r="D1" s="1"/>
      <c r="E1" s="1" t="s">
        <v>82</v>
      </c>
    </row>
    <row r="2" spans="1:7" x14ac:dyDescent="0.2">
      <c r="A2" s="6" t="s">
        <v>83</v>
      </c>
      <c r="B2" s="6" t="s">
        <v>84</v>
      </c>
      <c r="C2" s="6" t="s">
        <v>85</v>
      </c>
      <c r="D2" s="6" t="s">
        <v>86</v>
      </c>
      <c r="E2" s="6" t="s">
        <v>84</v>
      </c>
      <c r="F2" s="6" t="s">
        <v>85</v>
      </c>
      <c r="G2" s="6" t="s">
        <v>86</v>
      </c>
    </row>
    <row r="3" spans="1:7" x14ac:dyDescent="0.2">
      <c r="A3" s="19">
        <v>1</v>
      </c>
      <c r="B3" s="19">
        <v>3</v>
      </c>
      <c r="C3" s="19">
        <v>2</v>
      </c>
      <c r="D3" s="20">
        <f t="shared" ref="D3:D22" si="0">(B3-C3)/(B3+C3)</f>
        <v>0.2</v>
      </c>
      <c r="E3" s="6">
        <v>1</v>
      </c>
      <c r="F3" s="6">
        <v>3</v>
      </c>
      <c r="G3" s="20">
        <f t="shared" ref="G3:G22" si="1">(E3-F3)/(E3+F3)</f>
        <v>-0.5</v>
      </c>
    </row>
    <row r="4" spans="1:7" x14ac:dyDescent="0.2">
      <c r="A4" s="19">
        <v>2</v>
      </c>
      <c r="B4" s="19">
        <v>0</v>
      </c>
      <c r="C4" s="19">
        <v>5</v>
      </c>
      <c r="D4" s="20">
        <f t="shared" si="0"/>
        <v>-1</v>
      </c>
      <c r="E4" s="6">
        <v>2</v>
      </c>
      <c r="F4" s="6">
        <v>3</v>
      </c>
      <c r="G4" s="20">
        <f t="shared" si="1"/>
        <v>-0.2</v>
      </c>
    </row>
    <row r="5" spans="1:7" x14ac:dyDescent="0.2">
      <c r="A5" s="19">
        <v>3</v>
      </c>
      <c r="B5" s="19">
        <v>5</v>
      </c>
      <c r="C5" s="19">
        <v>7</v>
      </c>
      <c r="D5" s="20">
        <f t="shared" si="0"/>
        <v>-0.16666666666666666</v>
      </c>
      <c r="E5" s="6">
        <v>2</v>
      </c>
      <c r="F5" s="6">
        <v>6</v>
      </c>
      <c r="G5" s="20">
        <f t="shared" si="1"/>
        <v>-0.5</v>
      </c>
    </row>
    <row r="6" spans="1:7" x14ac:dyDescent="0.2">
      <c r="A6" s="19">
        <v>4</v>
      </c>
      <c r="B6" s="19">
        <v>4</v>
      </c>
      <c r="C6" s="19">
        <v>1</v>
      </c>
      <c r="D6" s="20">
        <f t="shared" si="0"/>
        <v>0.6</v>
      </c>
      <c r="E6" s="6">
        <v>0</v>
      </c>
      <c r="F6" s="6">
        <v>1</v>
      </c>
      <c r="G6" s="20">
        <f t="shared" si="1"/>
        <v>-1</v>
      </c>
    </row>
    <row r="7" spans="1:7" x14ac:dyDescent="0.2">
      <c r="A7" s="19">
        <v>5</v>
      </c>
      <c r="B7" s="19">
        <v>20</v>
      </c>
      <c r="C7" s="19">
        <v>0</v>
      </c>
      <c r="D7" s="20">
        <f t="shared" si="0"/>
        <v>1</v>
      </c>
      <c r="E7" s="6">
        <v>1</v>
      </c>
      <c r="F7" s="6">
        <v>4</v>
      </c>
      <c r="G7" s="20">
        <f t="shared" si="1"/>
        <v>-0.6</v>
      </c>
    </row>
    <row r="8" spans="1:7" x14ac:dyDescent="0.2">
      <c r="A8" s="19">
        <v>6</v>
      </c>
      <c r="B8" s="19">
        <v>19</v>
      </c>
      <c r="C8" s="19">
        <v>0</v>
      </c>
      <c r="D8" s="20">
        <f t="shared" si="0"/>
        <v>1</v>
      </c>
      <c r="E8" s="6">
        <v>2</v>
      </c>
      <c r="F8" s="6">
        <v>0</v>
      </c>
      <c r="G8" s="20">
        <f t="shared" si="1"/>
        <v>1</v>
      </c>
    </row>
    <row r="9" spans="1:7" x14ac:dyDescent="0.2">
      <c r="A9" s="19">
        <v>7</v>
      </c>
      <c r="B9" s="19">
        <v>7</v>
      </c>
      <c r="C9" s="19">
        <v>0</v>
      </c>
      <c r="D9" s="20">
        <f t="shared" si="0"/>
        <v>1</v>
      </c>
      <c r="E9" s="6">
        <v>4</v>
      </c>
      <c r="F9" s="6">
        <v>3</v>
      </c>
      <c r="G9" s="20">
        <f t="shared" si="1"/>
        <v>0.14285714285714285</v>
      </c>
    </row>
    <row r="10" spans="1:7" x14ac:dyDescent="0.2">
      <c r="A10" s="19">
        <v>8</v>
      </c>
      <c r="B10" s="19">
        <v>3</v>
      </c>
      <c r="C10" s="19">
        <v>0</v>
      </c>
      <c r="D10" s="20">
        <f t="shared" si="0"/>
        <v>1</v>
      </c>
      <c r="E10" s="6">
        <v>0</v>
      </c>
      <c r="F10" s="6">
        <v>1</v>
      </c>
      <c r="G10" s="20">
        <f t="shared" si="1"/>
        <v>-1</v>
      </c>
    </row>
    <row r="11" spans="1:7" x14ac:dyDescent="0.2">
      <c r="A11" s="19">
        <v>9</v>
      </c>
      <c r="B11" s="19">
        <v>5</v>
      </c>
      <c r="C11" s="19">
        <v>5</v>
      </c>
      <c r="D11" s="20">
        <f t="shared" si="0"/>
        <v>0</v>
      </c>
      <c r="E11" s="6">
        <v>3</v>
      </c>
      <c r="F11" s="6">
        <v>4</v>
      </c>
      <c r="G11" s="20">
        <f t="shared" si="1"/>
        <v>-0.14285714285714285</v>
      </c>
    </row>
    <row r="12" spans="1:7" x14ac:dyDescent="0.2">
      <c r="A12" s="19">
        <v>10</v>
      </c>
      <c r="B12" s="19">
        <v>15</v>
      </c>
      <c r="C12" s="19">
        <v>0</v>
      </c>
      <c r="D12" s="20">
        <f t="shared" si="0"/>
        <v>1</v>
      </c>
      <c r="E12" s="6">
        <v>4</v>
      </c>
      <c r="F12" s="6">
        <v>0</v>
      </c>
      <c r="G12" s="20">
        <f t="shared" si="1"/>
        <v>1</v>
      </c>
    </row>
    <row r="13" spans="1:7" x14ac:dyDescent="0.2">
      <c r="A13" s="19">
        <v>11</v>
      </c>
      <c r="B13" s="19">
        <v>13</v>
      </c>
      <c r="C13" s="19">
        <v>0</v>
      </c>
      <c r="D13" s="20">
        <f t="shared" si="0"/>
        <v>1</v>
      </c>
      <c r="E13" s="6">
        <v>1</v>
      </c>
      <c r="F13" s="6">
        <v>9</v>
      </c>
      <c r="G13" s="20">
        <f t="shared" si="1"/>
        <v>-0.8</v>
      </c>
    </row>
    <row r="14" spans="1:7" x14ac:dyDescent="0.2">
      <c r="A14" s="19">
        <v>12</v>
      </c>
      <c r="B14" s="19">
        <v>2</v>
      </c>
      <c r="C14" s="19">
        <v>3</v>
      </c>
      <c r="D14" s="20">
        <f t="shared" si="0"/>
        <v>-0.2</v>
      </c>
      <c r="E14" s="6">
        <v>4</v>
      </c>
      <c r="F14" s="6">
        <v>1</v>
      </c>
      <c r="G14" s="20">
        <f t="shared" si="1"/>
        <v>0.6</v>
      </c>
    </row>
    <row r="15" spans="1:7" x14ac:dyDescent="0.2">
      <c r="A15" s="19">
        <v>13</v>
      </c>
      <c r="B15" s="19">
        <v>9</v>
      </c>
      <c r="C15" s="19">
        <v>0</v>
      </c>
      <c r="D15" s="20">
        <f t="shared" si="0"/>
        <v>1</v>
      </c>
      <c r="E15" s="6">
        <v>5</v>
      </c>
      <c r="F15" s="6">
        <v>4</v>
      </c>
      <c r="G15" s="20">
        <f t="shared" si="1"/>
        <v>0.1111111111111111</v>
      </c>
    </row>
    <row r="16" spans="1:7" x14ac:dyDescent="0.2">
      <c r="A16" s="19">
        <v>14</v>
      </c>
      <c r="B16" s="19">
        <v>11</v>
      </c>
      <c r="C16" s="19">
        <v>0</v>
      </c>
      <c r="D16" s="20">
        <f t="shared" si="0"/>
        <v>1</v>
      </c>
      <c r="E16" s="6">
        <v>3</v>
      </c>
      <c r="F16" s="6">
        <v>4</v>
      </c>
      <c r="G16" s="20">
        <f t="shared" si="1"/>
        <v>-0.14285714285714285</v>
      </c>
    </row>
    <row r="17" spans="1:7" x14ac:dyDescent="0.2">
      <c r="A17" s="19">
        <v>15</v>
      </c>
      <c r="B17" s="19">
        <v>5</v>
      </c>
      <c r="C17" s="19">
        <v>0</v>
      </c>
      <c r="D17" s="20">
        <f t="shared" si="0"/>
        <v>1</v>
      </c>
      <c r="E17" s="6">
        <v>3</v>
      </c>
      <c r="F17" s="6">
        <v>3</v>
      </c>
      <c r="G17" s="20">
        <f t="shared" si="1"/>
        <v>0</v>
      </c>
    </row>
    <row r="18" spans="1:7" x14ac:dyDescent="0.2">
      <c r="A18" s="19">
        <v>16</v>
      </c>
      <c r="B18" s="19">
        <v>0</v>
      </c>
      <c r="C18" s="19">
        <v>2</v>
      </c>
      <c r="D18" s="20">
        <f t="shared" si="0"/>
        <v>-1</v>
      </c>
      <c r="E18" s="6">
        <v>3</v>
      </c>
      <c r="F18" s="6">
        <v>2</v>
      </c>
      <c r="G18" s="20">
        <f t="shared" si="1"/>
        <v>0.2</v>
      </c>
    </row>
    <row r="19" spans="1:7" x14ac:dyDescent="0.2">
      <c r="A19" s="19">
        <v>17</v>
      </c>
      <c r="B19" s="19">
        <v>10</v>
      </c>
      <c r="C19" s="19">
        <v>0</v>
      </c>
      <c r="D19" s="20">
        <f t="shared" si="0"/>
        <v>1</v>
      </c>
      <c r="E19" s="6">
        <v>7</v>
      </c>
      <c r="F19" s="6">
        <v>3</v>
      </c>
      <c r="G19" s="20">
        <f t="shared" si="1"/>
        <v>0.4</v>
      </c>
    </row>
    <row r="20" spans="1:7" x14ac:dyDescent="0.2">
      <c r="A20" s="19">
        <v>18</v>
      </c>
      <c r="B20" s="19">
        <v>13</v>
      </c>
      <c r="C20" s="19">
        <v>0</v>
      </c>
      <c r="D20" s="20">
        <f t="shared" si="0"/>
        <v>1</v>
      </c>
      <c r="E20" s="6">
        <v>0</v>
      </c>
      <c r="F20" s="6">
        <v>5</v>
      </c>
      <c r="G20" s="20">
        <f t="shared" si="1"/>
        <v>-1</v>
      </c>
    </row>
    <row r="21" spans="1:7" x14ac:dyDescent="0.2">
      <c r="A21" s="19">
        <v>19</v>
      </c>
      <c r="B21" s="19">
        <v>9</v>
      </c>
      <c r="C21" s="19">
        <v>3</v>
      </c>
      <c r="D21" s="20">
        <f t="shared" si="0"/>
        <v>0.5</v>
      </c>
      <c r="E21" s="6">
        <v>1</v>
      </c>
      <c r="F21" s="6">
        <v>1</v>
      </c>
      <c r="G21" s="20">
        <f t="shared" si="1"/>
        <v>0</v>
      </c>
    </row>
    <row r="22" spans="1:7" x14ac:dyDescent="0.2">
      <c r="A22" s="19">
        <v>20</v>
      </c>
      <c r="B22" s="19">
        <v>7</v>
      </c>
      <c r="C22" s="19">
        <v>0</v>
      </c>
      <c r="D22" s="20">
        <f t="shared" si="0"/>
        <v>1</v>
      </c>
      <c r="E22" s="6">
        <v>2</v>
      </c>
      <c r="F22" s="6">
        <v>6</v>
      </c>
      <c r="G22" s="20">
        <f t="shared" si="1"/>
        <v>-0.5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J21"/>
  <sheetViews>
    <sheetView workbookViewId="0"/>
  </sheetViews>
  <sheetFormatPr defaultColWidth="12.5703125" defaultRowHeight="15.75" customHeight="1" x14ac:dyDescent="0.2"/>
  <cols>
    <col min="10" max="10" width="20.5703125" bestFit="1" customWidth="1"/>
    <col min="11" max="11" width="18" bestFit="1" customWidth="1"/>
  </cols>
  <sheetData>
    <row r="1" spans="1:88" x14ac:dyDescent="0.2">
      <c r="A1" s="1" t="s">
        <v>0</v>
      </c>
      <c r="B1" s="6" t="s">
        <v>87</v>
      </c>
      <c r="C1" s="6" t="s">
        <v>88</v>
      </c>
      <c r="D1" s="6" t="s">
        <v>89</v>
      </c>
      <c r="E1" s="6" t="s">
        <v>90</v>
      </c>
      <c r="F1" s="6" t="s">
        <v>91</v>
      </c>
      <c r="G1" s="6" t="s">
        <v>92</v>
      </c>
      <c r="H1" s="6" t="s">
        <v>93</v>
      </c>
      <c r="I1" s="6" t="s">
        <v>94</v>
      </c>
      <c r="J1" s="6" t="s">
        <v>95</v>
      </c>
      <c r="K1" s="6" t="s">
        <v>96</v>
      </c>
      <c r="L1" s="6" t="s">
        <v>97</v>
      </c>
      <c r="M1" s="6" t="s">
        <v>98</v>
      </c>
      <c r="N1" s="6" t="s">
        <v>99</v>
      </c>
      <c r="O1" s="6" t="s">
        <v>100</v>
      </c>
      <c r="P1" s="6" t="s">
        <v>101</v>
      </c>
      <c r="Q1" s="6" t="s">
        <v>102</v>
      </c>
      <c r="R1" s="6" t="s">
        <v>103</v>
      </c>
      <c r="S1" s="6" t="s">
        <v>104</v>
      </c>
      <c r="T1" s="6" t="s">
        <v>105</v>
      </c>
      <c r="U1" s="6" t="s">
        <v>106</v>
      </c>
      <c r="V1" s="6" t="s">
        <v>107</v>
      </c>
      <c r="W1" s="6" t="s">
        <v>108</v>
      </c>
      <c r="X1" s="6" t="s">
        <v>109</v>
      </c>
      <c r="Y1" s="6" t="s">
        <v>110</v>
      </c>
      <c r="Z1" s="6" t="s">
        <v>111</v>
      </c>
      <c r="AA1" s="6" t="s">
        <v>112</v>
      </c>
      <c r="AB1" s="6" t="s">
        <v>113</v>
      </c>
      <c r="AC1" s="6" t="s">
        <v>114</v>
      </c>
      <c r="AD1" s="6" t="s">
        <v>115</v>
      </c>
      <c r="AE1" s="6" t="s">
        <v>116</v>
      </c>
      <c r="AF1" s="6" t="s">
        <v>117</v>
      </c>
      <c r="AG1" s="6" t="s">
        <v>118</v>
      </c>
      <c r="AH1" s="6" t="s">
        <v>119</v>
      </c>
      <c r="AI1" s="6" t="s">
        <v>120</v>
      </c>
      <c r="AJ1" s="6" t="s">
        <v>121</v>
      </c>
      <c r="AK1" s="6" t="s">
        <v>122</v>
      </c>
      <c r="AL1" s="6" t="s">
        <v>123</v>
      </c>
      <c r="AM1" s="6" t="s">
        <v>124</v>
      </c>
      <c r="AN1" s="6" t="s">
        <v>125</v>
      </c>
      <c r="AO1" s="6" t="s">
        <v>126</v>
      </c>
      <c r="AP1" s="6" t="s">
        <v>127</v>
      </c>
      <c r="AQ1" s="6" t="s">
        <v>128</v>
      </c>
      <c r="AR1" s="6" t="s">
        <v>129</v>
      </c>
      <c r="AS1" s="6" t="s">
        <v>130</v>
      </c>
      <c r="AT1" s="6" t="s">
        <v>131</v>
      </c>
      <c r="AU1" s="6" t="s">
        <v>132</v>
      </c>
      <c r="AV1" s="6" t="s">
        <v>133</v>
      </c>
      <c r="AW1" s="6" t="s">
        <v>134</v>
      </c>
      <c r="AX1" s="6" t="s">
        <v>135</v>
      </c>
      <c r="AY1" s="6" t="s">
        <v>136</v>
      </c>
      <c r="AZ1" s="6" t="s">
        <v>137</v>
      </c>
      <c r="BA1" s="6" t="s">
        <v>138</v>
      </c>
      <c r="BB1" s="6" t="s">
        <v>139</v>
      </c>
      <c r="BC1" s="6" t="s">
        <v>140</v>
      </c>
      <c r="BD1" s="6" t="s">
        <v>141</v>
      </c>
      <c r="BE1" s="6" t="s">
        <v>142</v>
      </c>
      <c r="BF1" s="6" t="s">
        <v>143</v>
      </c>
      <c r="BG1" s="6" t="s">
        <v>144</v>
      </c>
      <c r="BH1" s="6" t="s">
        <v>145</v>
      </c>
      <c r="BI1" s="6" t="s">
        <v>146</v>
      </c>
      <c r="BJ1" s="6" t="s">
        <v>147</v>
      </c>
      <c r="BK1" s="6" t="s">
        <v>148</v>
      </c>
      <c r="BL1" s="6" t="s">
        <v>149</v>
      </c>
      <c r="BM1" s="6" t="s">
        <v>150</v>
      </c>
      <c r="BN1" s="6" t="s">
        <v>151</v>
      </c>
      <c r="BO1" s="6" t="s">
        <v>152</v>
      </c>
      <c r="BP1" s="6" t="s">
        <v>153</v>
      </c>
      <c r="BQ1" s="6" t="s">
        <v>154</v>
      </c>
      <c r="BR1" s="6" t="s">
        <v>155</v>
      </c>
      <c r="BS1" s="6" t="s">
        <v>156</v>
      </c>
      <c r="BT1" s="6" t="s">
        <v>157</v>
      </c>
      <c r="BU1" s="6" t="s">
        <v>158</v>
      </c>
      <c r="BV1" s="6" t="s">
        <v>159</v>
      </c>
      <c r="BW1" s="6" t="s">
        <v>160</v>
      </c>
      <c r="BX1" s="6" t="s">
        <v>161</v>
      </c>
      <c r="BY1" s="6" t="s">
        <v>162</v>
      </c>
      <c r="BZ1" s="6" t="s">
        <v>163</v>
      </c>
      <c r="CA1" s="6" t="s">
        <v>164</v>
      </c>
      <c r="CB1" s="6" t="s">
        <v>165</v>
      </c>
      <c r="CC1" s="6" t="s">
        <v>166</v>
      </c>
      <c r="CD1" s="6" t="s">
        <v>167</v>
      </c>
      <c r="CE1" s="6" t="s">
        <v>168</v>
      </c>
      <c r="CF1" s="6" t="s">
        <v>169</v>
      </c>
      <c r="CG1" s="6" t="s">
        <v>170</v>
      </c>
      <c r="CH1" s="6" t="s">
        <v>171</v>
      </c>
      <c r="CI1" s="6" t="s">
        <v>172</v>
      </c>
      <c r="CJ1" s="6" t="s">
        <v>173</v>
      </c>
    </row>
    <row r="2" spans="1:88" x14ac:dyDescent="0.2">
      <c r="A2" s="6">
        <v>1</v>
      </c>
      <c r="B2" s="6">
        <v>0.43999999999999773</v>
      </c>
      <c r="C2" s="19">
        <v>3</v>
      </c>
      <c r="D2" s="19">
        <v>2</v>
      </c>
      <c r="E2" s="20">
        <f t="shared" ref="E2:E21" si="0">(C2-D2)/(C2+D2)</f>
        <v>0.2</v>
      </c>
      <c r="F2" s="6">
        <v>1</v>
      </c>
      <c r="G2" s="6">
        <v>3</v>
      </c>
      <c r="H2" s="20">
        <v>-0.5</v>
      </c>
      <c r="I2" s="20">
        <v>1.2816666666666665</v>
      </c>
      <c r="J2" s="6">
        <v>0.42999999999999261</v>
      </c>
      <c r="K2" s="6">
        <v>0.66542750929368</v>
      </c>
      <c r="L2" s="6">
        <v>0.407407407407407</v>
      </c>
      <c r="M2" s="6">
        <v>0.69374999999999998</v>
      </c>
      <c r="N2" s="6">
        <v>341</v>
      </c>
      <c r="O2" s="6">
        <v>647</v>
      </c>
      <c r="P2" s="6">
        <v>1.8973607038123099</v>
      </c>
      <c r="Q2" s="6">
        <v>1.07</v>
      </c>
      <c r="R2" s="6">
        <v>0.125</v>
      </c>
      <c r="S2" s="6">
        <v>121.648058492243</v>
      </c>
      <c r="T2" s="6">
        <v>0.70588235294117596</v>
      </c>
      <c r="U2" s="6">
        <v>0.65174129353233801</v>
      </c>
      <c r="V2" s="6">
        <v>0.25</v>
      </c>
      <c r="W2" s="6">
        <v>0.42465753424657499</v>
      </c>
      <c r="X2" s="6">
        <v>0.85</v>
      </c>
      <c r="Y2" s="6">
        <v>0.628571428571428</v>
      </c>
      <c r="Z2" s="6">
        <v>0.81884057971014401</v>
      </c>
      <c r="AA2" s="6">
        <v>0.5</v>
      </c>
      <c r="AB2" s="6">
        <v>0.53333333333333299</v>
      </c>
      <c r="AC2" s="6">
        <v>199</v>
      </c>
      <c r="AD2" s="6">
        <v>372</v>
      </c>
      <c r="AE2" s="6">
        <v>1.86934673366834</v>
      </c>
      <c r="AF2" s="6">
        <v>0.41</v>
      </c>
      <c r="AG2" s="6">
        <v>0.12</v>
      </c>
      <c r="AH2" s="6">
        <v>107.70502894083999</v>
      </c>
      <c r="AI2" s="6">
        <v>0.78571428571428503</v>
      </c>
      <c r="AJ2" s="6">
        <v>0.82727272727272705</v>
      </c>
      <c r="AK2" s="6">
        <v>0.66666666666666596</v>
      </c>
      <c r="AL2" s="6">
        <v>0.46428571428571402</v>
      </c>
      <c r="AM2" s="6">
        <v>0.3</v>
      </c>
      <c r="AN2" s="6">
        <v>0.54444444444444395</v>
      </c>
      <c r="AO2" s="6">
        <v>153</v>
      </c>
      <c r="AP2" s="6">
        <v>153</v>
      </c>
      <c r="AQ2" s="6">
        <v>41</v>
      </c>
      <c r="AR2" s="6">
        <v>194</v>
      </c>
      <c r="AS2" s="6">
        <v>78.865979379999999</v>
      </c>
      <c r="AT2" s="6">
        <v>1.26797385620915</v>
      </c>
      <c r="AU2" s="6">
        <v>0.59</v>
      </c>
      <c r="AV2" s="6">
        <v>23</v>
      </c>
      <c r="AW2" s="6">
        <v>0.09</v>
      </c>
      <c r="AX2" s="6">
        <v>77.124183006535901</v>
      </c>
      <c r="AY2" s="6">
        <v>22.875816993463999</v>
      </c>
      <c r="AZ2" s="6">
        <v>22</v>
      </c>
      <c r="BA2" s="6">
        <v>5.3636363636363598</v>
      </c>
      <c r="BB2" s="6">
        <v>86.409090910000003</v>
      </c>
      <c r="BC2" s="6">
        <v>21.940833333333298</v>
      </c>
      <c r="BD2" s="6">
        <v>1.00269664628356</v>
      </c>
      <c r="BE2" s="6">
        <v>167.35494815733799</v>
      </c>
      <c r="BF2" s="6">
        <v>2</v>
      </c>
      <c r="BG2" s="6">
        <v>18.6818013803342</v>
      </c>
      <c r="BH2" s="6">
        <v>92.307692309999993</v>
      </c>
      <c r="BI2" s="6">
        <v>7.6923076923076898</v>
      </c>
      <c r="BJ2" s="6">
        <v>39</v>
      </c>
      <c r="BK2" s="6">
        <v>7</v>
      </c>
      <c r="BL2" s="6">
        <v>5.1428571428571397</v>
      </c>
      <c r="BM2" s="6">
        <v>93.714285714285694</v>
      </c>
      <c r="BN2" s="6">
        <v>0.31903984199931601</v>
      </c>
      <c r="BO2" s="6">
        <v>76.470588235294102</v>
      </c>
      <c r="BP2" s="6">
        <v>71.92982456</v>
      </c>
      <c r="BQ2" s="6">
        <v>28.070175438596401</v>
      </c>
      <c r="BR2" s="6">
        <v>114</v>
      </c>
      <c r="BS2" s="6">
        <v>15</v>
      </c>
      <c r="BT2" s="6">
        <v>5.4666666666666597</v>
      </c>
      <c r="BU2" s="6">
        <v>83</v>
      </c>
      <c r="BV2" s="6">
        <v>1.35023629135098</v>
      </c>
      <c r="BW2" s="6">
        <v>79.720279720279706</v>
      </c>
      <c r="BX2" s="6">
        <v>550</v>
      </c>
      <c r="BY2" s="6">
        <v>143</v>
      </c>
      <c r="BZ2" s="6">
        <v>693</v>
      </c>
      <c r="CA2" s="6">
        <v>79.365079365079296</v>
      </c>
      <c r="CB2" s="6">
        <v>6.6634615384615303</v>
      </c>
      <c r="CC2" s="6">
        <v>6</v>
      </c>
      <c r="CD2" s="6">
        <v>16</v>
      </c>
      <c r="CE2" s="6">
        <v>55.437237022321398</v>
      </c>
      <c r="CF2" s="6">
        <v>16.345897750123999</v>
      </c>
      <c r="CG2" s="6">
        <v>6.0348238190434804</v>
      </c>
      <c r="CH2" s="6">
        <v>2.1708622073713899</v>
      </c>
      <c r="CI2" s="6">
        <v>5.7284462868025203</v>
      </c>
      <c r="CJ2" s="6">
        <v>2.0274168769999998</v>
      </c>
    </row>
    <row r="3" spans="1:88" x14ac:dyDescent="0.2">
      <c r="A3" s="6">
        <v>2</v>
      </c>
      <c r="B3" s="6">
        <v>0.91999999999999815</v>
      </c>
      <c r="C3" s="19">
        <v>0</v>
      </c>
      <c r="D3" s="19">
        <v>5</v>
      </c>
      <c r="E3" s="20">
        <f t="shared" si="0"/>
        <v>-1</v>
      </c>
      <c r="F3" s="6">
        <v>2</v>
      </c>
      <c r="G3" s="6">
        <v>3</v>
      </c>
      <c r="H3" s="20">
        <v>-0.2</v>
      </c>
      <c r="I3" s="20">
        <v>0.83583333333333343</v>
      </c>
      <c r="J3" s="6">
        <v>0.38000000000000966</v>
      </c>
      <c r="K3" s="6">
        <v>0.54347826086956497</v>
      </c>
      <c r="L3" s="6">
        <v>0.489361702127659</v>
      </c>
      <c r="M3" s="6">
        <v>0.69</v>
      </c>
      <c r="N3" s="6">
        <v>222</v>
      </c>
      <c r="O3" s="6">
        <v>458</v>
      </c>
      <c r="P3" s="6">
        <v>2.0630630630630602</v>
      </c>
      <c r="Q3" s="6">
        <v>2.75</v>
      </c>
      <c r="R3" s="6">
        <v>0.2</v>
      </c>
      <c r="S3" s="6">
        <v>75.324869129480305</v>
      </c>
      <c r="T3" s="6">
        <v>0.4</v>
      </c>
      <c r="U3" s="6">
        <v>0.56097560975609695</v>
      </c>
      <c r="V3" s="6">
        <v>0.66666666666666596</v>
      </c>
      <c r="W3" s="6">
        <v>0.47727272727272702</v>
      </c>
      <c r="X3" s="6">
        <v>0.65</v>
      </c>
      <c r="Y3" s="6">
        <v>0.7</v>
      </c>
      <c r="Z3" s="6">
        <v>0.70068027210884298</v>
      </c>
      <c r="AA3" s="6">
        <v>0.35135135135135098</v>
      </c>
      <c r="AB3" s="6">
        <v>0.57999999999999996</v>
      </c>
      <c r="AC3" s="6">
        <v>210</v>
      </c>
      <c r="AD3" s="6">
        <v>412</v>
      </c>
      <c r="AE3" s="6">
        <v>1.96190476190476</v>
      </c>
      <c r="AF3" s="6">
        <v>0.47</v>
      </c>
      <c r="AG3" s="6">
        <v>0.22</v>
      </c>
      <c r="AH3" s="6">
        <v>109.719238060846</v>
      </c>
      <c r="AI3" s="6">
        <v>0.77777777777777701</v>
      </c>
      <c r="AJ3" s="6">
        <v>0.67567567567567499</v>
      </c>
      <c r="AK3" s="6">
        <v>0.66666666666666596</v>
      </c>
      <c r="AL3" s="6">
        <v>0.29032258064516098</v>
      </c>
      <c r="AM3" s="6">
        <v>0.75</v>
      </c>
      <c r="AN3" s="6">
        <v>0.53333333333333299</v>
      </c>
      <c r="AO3" s="6">
        <v>24</v>
      </c>
      <c r="AP3" s="6">
        <v>25</v>
      </c>
      <c r="AQ3" s="6">
        <v>6</v>
      </c>
      <c r="AR3" s="6">
        <v>31</v>
      </c>
      <c r="AS3" s="6">
        <v>80.645161290322505</v>
      </c>
      <c r="AT3" s="6">
        <v>1.2916666666666601</v>
      </c>
      <c r="AU3" s="6">
        <v>0.06</v>
      </c>
      <c r="AV3" s="6">
        <v>8</v>
      </c>
      <c r="AW3" s="6">
        <v>0.4</v>
      </c>
      <c r="AX3" s="6">
        <v>91.6666666666666</v>
      </c>
      <c r="AY3" s="6">
        <v>8.3333333333333304</v>
      </c>
      <c r="AZ3" s="6">
        <v>3</v>
      </c>
      <c r="BA3" s="6">
        <v>7.3333333333333304</v>
      </c>
      <c r="BB3" s="6">
        <v>71.6666666666666</v>
      </c>
      <c r="BC3" s="6">
        <v>0.83861111111111097</v>
      </c>
      <c r="BD3" s="6">
        <v>3.5773434912222499</v>
      </c>
      <c r="BE3" s="6">
        <v>26.224094600993102</v>
      </c>
      <c r="BF3" s="6">
        <v>51</v>
      </c>
      <c r="BG3" s="6">
        <v>7.1628901951342403</v>
      </c>
      <c r="BH3" s="6">
        <v>91.6666666666666</v>
      </c>
      <c r="BI3" s="6">
        <v>8.3333333333333304</v>
      </c>
      <c r="BJ3" s="6">
        <v>24</v>
      </c>
      <c r="BK3" s="6">
        <v>3</v>
      </c>
      <c r="BL3" s="6">
        <v>7.3333333333333304</v>
      </c>
      <c r="BM3" s="6">
        <v>71.6666666666666</v>
      </c>
      <c r="BN3" s="6">
        <v>3.5773434912222499</v>
      </c>
      <c r="BO3" s="6">
        <v>80.645161290322505</v>
      </c>
      <c r="BP3" s="6"/>
      <c r="BQ3" s="6"/>
      <c r="BS3" s="6"/>
      <c r="BT3" s="6"/>
      <c r="BU3" s="6"/>
      <c r="BV3" s="6"/>
      <c r="BW3" s="6"/>
      <c r="BX3" s="6">
        <v>906</v>
      </c>
      <c r="BY3" s="6">
        <v>503</v>
      </c>
      <c r="BZ3" s="6">
        <v>1409</v>
      </c>
      <c r="CA3" s="6">
        <v>64.300922640170299</v>
      </c>
      <c r="CB3" s="6">
        <v>10.7557251908396</v>
      </c>
      <c r="CC3" s="6">
        <v>4</v>
      </c>
      <c r="CD3" s="6">
        <v>18</v>
      </c>
      <c r="CE3" s="6">
        <v>69.603291249777001</v>
      </c>
      <c r="CF3" s="6">
        <v>21.605426620122198</v>
      </c>
      <c r="CG3" s="6">
        <v>4.28150243593225</v>
      </c>
      <c r="CH3" s="6">
        <v>1.4701608299678599</v>
      </c>
      <c r="CI3" s="6">
        <v>5.2439489433442503</v>
      </c>
      <c r="CJ3" s="6">
        <v>1.6661428764631201</v>
      </c>
    </row>
    <row r="4" spans="1:88" x14ac:dyDescent="0.2">
      <c r="A4" s="6">
        <v>3</v>
      </c>
      <c r="B4" s="6">
        <v>1.4299999999999997</v>
      </c>
      <c r="C4" s="19">
        <v>5</v>
      </c>
      <c r="D4" s="19">
        <v>7</v>
      </c>
      <c r="E4" s="20">
        <f t="shared" si="0"/>
        <v>-0.16666666666666666</v>
      </c>
      <c r="F4" s="6">
        <v>2</v>
      </c>
      <c r="G4" s="6">
        <v>6</v>
      </c>
      <c r="H4" s="20">
        <v>-0.5</v>
      </c>
      <c r="I4" s="20">
        <v>1.2149999999999992</v>
      </c>
      <c r="J4" s="6">
        <v>0.14000000000000057</v>
      </c>
      <c r="K4" s="6">
        <v>0.77112676056338003</v>
      </c>
      <c r="L4" s="6">
        <v>0.39130434800000002</v>
      </c>
      <c r="M4" s="6">
        <v>0.77777777777777701</v>
      </c>
      <c r="N4" s="6">
        <v>370</v>
      </c>
      <c r="O4" s="6">
        <v>613</v>
      </c>
      <c r="P4" s="6">
        <v>1.65675675675675</v>
      </c>
      <c r="Q4" s="6">
        <v>1.07</v>
      </c>
      <c r="R4" s="6">
        <v>0.14000000000000001</v>
      </c>
      <c r="S4" s="6">
        <v>127.385011564415</v>
      </c>
      <c r="T4" s="6">
        <v>0.80769230769230704</v>
      </c>
      <c r="U4" s="6">
        <v>0.76293103448275801</v>
      </c>
      <c r="V4" s="6">
        <v>0</v>
      </c>
      <c r="W4" s="6">
        <v>0.42857142857142799</v>
      </c>
      <c r="X4" s="6">
        <v>0.67500000000000004</v>
      </c>
      <c r="Y4" s="6">
        <v>0.77647058823529402</v>
      </c>
      <c r="Z4" s="6">
        <v>0.91558441558441495</v>
      </c>
      <c r="AA4" s="6">
        <v>0.61538461538461497</v>
      </c>
      <c r="AB4" s="6">
        <v>0.67272727272727195</v>
      </c>
      <c r="AC4" s="6">
        <v>240</v>
      </c>
      <c r="AD4" s="6">
        <v>418</v>
      </c>
      <c r="AE4" s="6">
        <v>1.74166666666666</v>
      </c>
      <c r="AF4" s="6">
        <v>0.59</v>
      </c>
      <c r="AG4" s="6">
        <v>0.15</v>
      </c>
      <c r="AH4" s="6">
        <v>125.471212900493</v>
      </c>
      <c r="AI4" s="6">
        <v>1</v>
      </c>
      <c r="AJ4" s="6">
        <v>0.88888888888888795</v>
      </c>
      <c r="AK4" s="6">
        <v>0.71428571428571397</v>
      </c>
      <c r="AL4" s="6">
        <v>0.57894736842105199</v>
      </c>
      <c r="AM4" s="6">
        <v>0.76666666666666605</v>
      </c>
      <c r="AN4" s="6">
        <v>0.65</v>
      </c>
      <c r="AO4" s="6">
        <v>131</v>
      </c>
      <c r="AP4" s="6">
        <v>131</v>
      </c>
      <c r="AQ4" s="6">
        <v>76</v>
      </c>
      <c r="AR4" s="6">
        <v>207</v>
      </c>
      <c r="AS4" s="6">
        <v>63.285024154589301</v>
      </c>
      <c r="AT4" s="6">
        <v>1.5801526717557199</v>
      </c>
      <c r="AU4" s="6">
        <v>0.59</v>
      </c>
      <c r="AV4" s="6">
        <v>23.5</v>
      </c>
      <c r="AW4" s="6">
        <v>0.12</v>
      </c>
      <c r="AX4" s="6">
        <v>75.572519083969397</v>
      </c>
      <c r="AY4" s="6">
        <v>24.4274809160305</v>
      </c>
      <c r="AZ4" s="6">
        <v>20</v>
      </c>
      <c r="BA4" s="6">
        <v>4.95</v>
      </c>
      <c r="BB4" s="6">
        <v>70.349999999999994</v>
      </c>
      <c r="BC4" s="6">
        <v>20.574999999999999</v>
      </c>
      <c r="BD4" s="6">
        <v>0.97205346294046102</v>
      </c>
      <c r="BE4" s="6">
        <v>152.72845036973001</v>
      </c>
      <c r="BF4" s="6">
        <v>3</v>
      </c>
      <c r="BG4" s="6">
        <v>13.445832327582</v>
      </c>
      <c r="BH4" s="6">
        <v>71.428571428571402</v>
      </c>
      <c r="BI4" s="6">
        <v>28.571428571428498</v>
      </c>
      <c r="BJ4" s="6">
        <v>28</v>
      </c>
      <c r="BK4" s="6">
        <v>4</v>
      </c>
      <c r="BL4" s="6">
        <v>5</v>
      </c>
      <c r="BM4" s="6">
        <v>84.25</v>
      </c>
      <c r="BN4" s="6">
        <v>0.19441069258809199</v>
      </c>
      <c r="BO4" s="6">
        <v>58.3333333333333</v>
      </c>
      <c r="BP4" s="6">
        <v>76.699029126213503</v>
      </c>
      <c r="BQ4" s="6">
        <v>23.300970873786401</v>
      </c>
      <c r="BR4" s="6">
        <v>103</v>
      </c>
      <c r="BS4" s="6">
        <v>17</v>
      </c>
      <c r="BT4" s="6">
        <v>4.6470588235294104</v>
      </c>
      <c r="BU4" s="6">
        <v>60</v>
      </c>
      <c r="BV4" s="6">
        <v>1.45541022592152</v>
      </c>
      <c r="BW4" s="6">
        <v>64.779874213836393</v>
      </c>
      <c r="BX4" s="6">
        <v>1157</v>
      </c>
      <c r="BY4" s="6">
        <v>450</v>
      </c>
      <c r="BZ4" s="6">
        <v>1607</v>
      </c>
      <c r="CA4" s="6">
        <v>71.997510889856798</v>
      </c>
      <c r="CB4" s="6">
        <v>12.959677419354801</v>
      </c>
      <c r="CC4" s="6">
        <v>4.5</v>
      </c>
      <c r="CD4" s="6">
        <v>14</v>
      </c>
      <c r="CE4" s="6">
        <v>65.777242950201597</v>
      </c>
      <c r="CF4" s="6">
        <v>17.4529807600967</v>
      </c>
      <c r="CG4" s="6">
        <v>4.1871054446740397</v>
      </c>
      <c r="CH4" s="6">
        <v>1.2782706888211799</v>
      </c>
      <c r="CI4" s="6">
        <v>5.47136095492219</v>
      </c>
      <c r="CJ4" s="6">
        <v>1.4488395477695699</v>
      </c>
    </row>
    <row r="5" spans="1:88" x14ac:dyDescent="0.2">
      <c r="A5" s="6">
        <v>4</v>
      </c>
      <c r="B5" s="6">
        <v>0.25999999999999801</v>
      </c>
      <c r="C5" s="19">
        <v>4</v>
      </c>
      <c r="D5" s="19">
        <v>1</v>
      </c>
      <c r="E5" s="20">
        <f t="shared" si="0"/>
        <v>0.6</v>
      </c>
      <c r="F5" s="6">
        <v>0</v>
      </c>
      <c r="G5" s="6">
        <v>1</v>
      </c>
      <c r="H5" s="20">
        <v>-1</v>
      </c>
      <c r="I5" s="20">
        <v>0.90500000000000058</v>
      </c>
      <c r="J5" s="6">
        <v>0.35999999999999943</v>
      </c>
      <c r="K5" s="6">
        <v>0.84153005464480801</v>
      </c>
      <c r="L5" s="6">
        <v>0.54545454545454497</v>
      </c>
      <c r="M5" s="6">
        <v>0.85</v>
      </c>
      <c r="N5" s="6">
        <v>458</v>
      </c>
      <c r="O5" s="6">
        <v>671</v>
      </c>
      <c r="P5" s="6">
        <v>1.4650655021834</v>
      </c>
      <c r="Q5" s="6">
        <v>0.65</v>
      </c>
      <c r="R5" s="6">
        <v>0.14000000000000001</v>
      </c>
      <c r="S5" s="6">
        <v>162.959119380304</v>
      </c>
      <c r="T5" s="6">
        <v>0.85714285714285698</v>
      </c>
      <c r="U5" s="6">
        <v>0.83818770226537198</v>
      </c>
      <c r="V5" s="6">
        <v>0.5</v>
      </c>
      <c r="W5" s="6">
        <v>0.55555555555555503</v>
      </c>
      <c r="X5" s="6">
        <v>0.8</v>
      </c>
      <c r="Y5" s="6">
        <v>0.826315789473684</v>
      </c>
      <c r="Z5" s="6">
        <v>0.92397660818713401</v>
      </c>
      <c r="AA5" s="6">
        <v>0.4</v>
      </c>
      <c r="AB5" s="6">
        <v>0.78888888888888797</v>
      </c>
      <c r="AC5" s="6">
        <v>200</v>
      </c>
      <c r="AD5" s="6">
        <v>389</v>
      </c>
      <c r="AE5" s="6">
        <v>1.9450000000000001</v>
      </c>
      <c r="AF5" s="6">
        <v>0.35</v>
      </c>
      <c r="AG5" s="6">
        <v>0.13</v>
      </c>
      <c r="AH5" s="6">
        <v>105.50352288962399</v>
      </c>
      <c r="AI5" s="6">
        <v>0.92307692307692302</v>
      </c>
      <c r="AJ5" s="6">
        <v>0.92424242424242398</v>
      </c>
      <c r="AK5" s="6">
        <v>0.28571428571428498</v>
      </c>
      <c r="AL5" s="6">
        <v>0.46153846153846101</v>
      </c>
      <c r="AM5" s="6">
        <v>0.56666666666666599</v>
      </c>
      <c r="AN5" s="6">
        <v>0.85714285700000004</v>
      </c>
      <c r="AO5" s="6">
        <v>191</v>
      </c>
      <c r="AP5" s="6">
        <v>191</v>
      </c>
      <c r="AQ5" s="6">
        <v>44</v>
      </c>
      <c r="AR5" s="6">
        <v>235</v>
      </c>
      <c r="AS5" s="6">
        <v>81.276595744680805</v>
      </c>
      <c r="AT5" s="6">
        <v>1.23036649214659</v>
      </c>
      <c r="AU5" s="6">
        <v>0.35</v>
      </c>
      <c r="AV5" s="6">
        <v>18</v>
      </c>
      <c r="AW5" s="6">
        <v>0.11</v>
      </c>
      <c r="AX5" s="6">
        <v>87.434554973821903</v>
      </c>
      <c r="AY5" s="6">
        <v>12.565445026178001</v>
      </c>
      <c r="AZ5" s="6">
        <v>17</v>
      </c>
      <c r="BA5" s="6">
        <v>9.8235294117646994</v>
      </c>
      <c r="BB5" s="6">
        <v>152.941176470588</v>
      </c>
      <c r="BC5" s="6">
        <v>20.9575</v>
      </c>
      <c r="BD5" s="6">
        <v>0.811165453894787</v>
      </c>
      <c r="BE5" s="6">
        <v>218.34925507422699</v>
      </c>
      <c r="BF5" s="6">
        <v>2</v>
      </c>
      <c r="BG5" s="6">
        <v>15.62084759503</v>
      </c>
      <c r="BH5" s="6">
        <v>93.650793650793602</v>
      </c>
      <c r="BI5" s="6">
        <v>6.34920634920634</v>
      </c>
      <c r="BJ5" s="6">
        <v>63</v>
      </c>
      <c r="BK5" s="6">
        <v>7</v>
      </c>
      <c r="BL5" s="6">
        <v>8.4285714285714199</v>
      </c>
      <c r="BM5" s="6">
        <v>131.57142857142799</v>
      </c>
      <c r="BN5" s="6">
        <v>0.33400930454491201</v>
      </c>
      <c r="BO5" s="6">
        <v>86.301369859999994</v>
      </c>
      <c r="BP5" s="6">
        <v>84.375</v>
      </c>
      <c r="BQ5" s="6">
        <v>15.625</v>
      </c>
      <c r="BR5" s="6">
        <v>128</v>
      </c>
      <c r="BS5" s="6">
        <v>10</v>
      </c>
      <c r="BT5" s="6">
        <v>10.8</v>
      </c>
      <c r="BU5" s="6">
        <v>167.9</v>
      </c>
      <c r="BV5" s="6">
        <v>0.86471944657955402</v>
      </c>
      <c r="BW5" s="6">
        <v>79.012345679012299</v>
      </c>
      <c r="BX5" s="6">
        <v>1377</v>
      </c>
      <c r="BY5" s="6">
        <v>276</v>
      </c>
      <c r="BZ5" s="6">
        <v>1653</v>
      </c>
      <c r="CA5" s="6">
        <v>83.303085299455503</v>
      </c>
      <c r="CB5" s="6">
        <v>12.7153846153846</v>
      </c>
      <c r="CC5" s="6">
        <v>3</v>
      </c>
      <c r="CD5" s="6">
        <v>15</v>
      </c>
      <c r="CE5" s="6">
        <v>68.6829650103342</v>
      </c>
      <c r="CF5" s="6">
        <v>24.005707316964301</v>
      </c>
      <c r="CG5" s="6">
        <v>2.2318759461868498</v>
      </c>
      <c r="CH5" s="6">
        <v>1.03776977705236</v>
      </c>
      <c r="CI5" s="6">
        <v>4.7487963678728002</v>
      </c>
      <c r="CJ5" s="6">
        <v>1.3330712140000001</v>
      </c>
    </row>
    <row r="6" spans="1:88" x14ac:dyDescent="0.2">
      <c r="A6" s="6">
        <v>5</v>
      </c>
      <c r="B6" s="6">
        <v>0.28999999999999915</v>
      </c>
      <c r="C6" s="19">
        <v>20</v>
      </c>
      <c r="D6" s="19">
        <v>0</v>
      </c>
      <c r="E6" s="20">
        <f t="shared" si="0"/>
        <v>1</v>
      </c>
      <c r="F6" s="6">
        <v>1</v>
      </c>
      <c r="G6" s="6">
        <v>4</v>
      </c>
      <c r="H6" s="20">
        <v>-0.6</v>
      </c>
      <c r="I6" s="20">
        <v>0.56083333333333452</v>
      </c>
      <c r="J6" s="6">
        <v>0.14000000000000057</v>
      </c>
      <c r="K6" s="6">
        <v>0.69189189189189104</v>
      </c>
      <c r="L6" s="6">
        <v>0.476190476190476</v>
      </c>
      <c r="M6" s="6">
        <v>0.74347826086956503</v>
      </c>
      <c r="N6" s="6">
        <v>482</v>
      </c>
      <c r="O6" s="6">
        <v>822</v>
      </c>
      <c r="P6" s="6">
        <v>1.7053941908713599</v>
      </c>
      <c r="Q6" s="6">
        <v>0.95</v>
      </c>
      <c r="R6" s="6">
        <v>0.13</v>
      </c>
      <c r="S6" s="6">
        <v>165.14835465526599</v>
      </c>
      <c r="T6" s="6">
        <v>0.66666666666666596</v>
      </c>
      <c r="U6" s="6">
        <v>0.69863013698630105</v>
      </c>
      <c r="V6" s="6">
        <v>0.64285714285714202</v>
      </c>
      <c r="W6" s="6">
        <v>0.44285714285714201</v>
      </c>
      <c r="X6" s="6">
        <v>0.7</v>
      </c>
      <c r="Y6" s="6">
        <v>0.75</v>
      </c>
      <c r="Z6" s="6">
        <v>0.71666666666666601</v>
      </c>
      <c r="AA6" s="6">
        <v>0.51851851851851805</v>
      </c>
      <c r="AB6" s="6">
        <v>0.55454545454545401</v>
      </c>
      <c r="AC6" s="6">
        <v>235</v>
      </c>
      <c r="AD6" s="6">
        <v>446</v>
      </c>
      <c r="AE6" s="6">
        <v>1.89787234042553</v>
      </c>
      <c r="AF6" s="6">
        <v>0.41</v>
      </c>
      <c r="AG6" s="6">
        <v>0.11</v>
      </c>
      <c r="AH6" s="6">
        <v>133.72946384653201</v>
      </c>
      <c r="AI6" s="6">
        <v>0.82758620689655105</v>
      </c>
      <c r="AJ6" s="6">
        <v>0.69536423800000002</v>
      </c>
      <c r="AK6" s="6">
        <v>0.75</v>
      </c>
      <c r="AL6" s="6">
        <v>0.47826086956521702</v>
      </c>
      <c r="AM6" s="6">
        <v>0.53333333333333299</v>
      </c>
      <c r="AN6" s="6">
        <v>0.53</v>
      </c>
      <c r="AO6" s="6">
        <v>142</v>
      </c>
      <c r="AP6" s="6">
        <v>142</v>
      </c>
      <c r="AQ6" s="6">
        <v>65</v>
      </c>
      <c r="AR6" s="6">
        <v>207</v>
      </c>
      <c r="AS6" s="6">
        <v>68.599033816425106</v>
      </c>
      <c r="AT6" s="6">
        <v>1.4577464788732299</v>
      </c>
      <c r="AU6" s="6">
        <v>0.47</v>
      </c>
      <c r="AV6" s="6">
        <v>21</v>
      </c>
      <c r="AW6" s="6">
        <v>0.11</v>
      </c>
      <c r="AX6" s="6">
        <v>64.084507042253506</v>
      </c>
      <c r="AY6" s="6">
        <v>35.915492957746402</v>
      </c>
      <c r="AZ6" s="6">
        <v>20</v>
      </c>
      <c r="BA6" s="6">
        <v>4.55</v>
      </c>
      <c r="BB6" s="6">
        <v>54.55</v>
      </c>
      <c r="BC6" s="6">
        <v>21.182222222222201</v>
      </c>
      <c r="BD6" s="6">
        <v>0.94418799832144296</v>
      </c>
      <c r="BE6" s="6">
        <v>160.67892503536001</v>
      </c>
      <c r="BF6" s="6">
        <v>0</v>
      </c>
      <c r="BG6" s="6">
        <v>13.9666881845885</v>
      </c>
      <c r="BH6" s="6">
        <v>66.6666666666666</v>
      </c>
      <c r="BI6" s="6">
        <v>33.3333333333333</v>
      </c>
      <c r="BJ6" s="6">
        <v>18</v>
      </c>
      <c r="BK6" s="6">
        <v>2</v>
      </c>
      <c r="BL6" s="6">
        <v>6</v>
      </c>
      <c r="BM6" s="6">
        <v>83</v>
      </c>
      <c r="BN6" s="6">
        <v>9.4418799999999997E-2</v>
      </c>
      <c r="BO6" s="6">
        <v>81.818181818181799</v>
      </c>
      <c r="BP6" s="6">
        <v>63.709677419354797</v>
      </c>
      <c r="BQ6" s="6">
        <v>36.290322580645103</v>
      </c>
      <c r="BR6" s="6">
        <v>124</v>
      </c>
      <c r="BS6" s="6">
        <v>18</v>
      </c>
      <c r="BT6" s="6">
        <v>4.3888888888888804</v>
      </c>
      <c r="BU6" s="6">
        <v>51.3888888888888</v>
      </c>
      <c r="BV6" s="6">
        <v>1.5381693885301899</v>
      </c>
      <c r="BW6" s="6">
        <v>67.027027027027003</v>
      </c>
      <c r="BX6" s="6">
        <v>691</v>
      </c>
      <c r="BY6" s="6">
        <v>389</v>
      </c>
      <c r="BZ6" s="6">
        <v>1080</v>
      </c>
      <c r="CA6" s="6">
        <v>63.981481481481403</v>
      </c>
      <c r="CB6" s="6">
        <v>8</v>
      </c>
      <c r="CC6" s="6">
        <v>4</v>
      </c>
      <c r="CD6" s="6">
        <v>24</v>
      </c>
      <c r="CE6" s="6">
        <v>70.393124841579194</v>
      </c>
      <c r="CF6" s="6">
        <v>25.580526774297699</v>
      </c>
      <c r="CG6" s="6">
        <v>4.6838896902680096</v>
      </c>
      <c r="CH6" s="6">
        <v>2.4914551508525999</v>
      </c>
      <c r="CI6" s="6">
        <v>4.7991696244921904</v>
      </c>
      <c r="CJ6" s="6">
        <v>2.5642434815467601</v>
      </c>
    </row>
    <row r="7" spans="1:88" x14ac:dyDescent="0.2">
      <c r="A7" s="6">
        <v>6</v>
      </c>
      <c r="B7" s="6">
        <v>1.2199999999999989</v>
      </c>
      <c r="C7" s="19">
        <v>19</v>
      </c>
      <c r="D7" s="19">
        <v>0</v>
      </c>
      <c r="E7" s="20">
        <f t="shared" si="0"/>
        <v>1</v>
      </c>
      <c r="F7" s="6">
        <v>2</v>
      </c>
      <c r="G7" s="6">
        <v>0</v>
      </c>
      <c r="H7" s="20">
        <v>1</v>
      </c>
      <c r="I7" s="20">
        <v>1.4250000000000009</v>
      </c>
      <c r="J7" s="6">
        <v>0.28000000000000114</v>
      </c>
      <c r="K7" s="6">
        <v>0.81632653061224403</v>
      </c>
      <c r="L7" s="6">
        <v>0.53968253968253899</v>
      </c>
      <c r="M7" s="6">
        <v>0.74615384615384595</v>
      </c>
      <c r="N7" s="6">
        <v>532</v>
      </c>
      <c r="O7" s="6">
        <v>836</v>
      </c>
      <c r="P7" s="6">
        <v>1.5714285714285701</v>
      </c>
      <c r="Q7" s="6">
        <v>0.83</v>
      </c>
      <c r="R7" s="6">
        <v>0.1</v>
      </c>
      <c r="S7" s="6">
        <v>181.76598294045701</v>
      </c>
      <c r="T7" s="6">
        <v>0.82716049382715995</v>
      </c>
      <c r="U7" s="6">
        <v>0.81350482315112504</v>
      </c>
      <c r="V7" s="6">
        <v>0.36363636363636298</v>
      </c>
      <c r="W7" s="6">
        <v>0.57692307692307598</v>
      </c>
      <c r="X7" s="6">
        <v>0.78333333333333299</v>
      </c>
      <c r="Y7" s="6">
        <v>0.74090909100000002</v>
      </c>
      <c r="Z7" s="6">
        <v>0.85945945945945901</v>
      </c>
      <c r="AA7" s="6">
        <v>0.65217391304347805</v>
      </c>
      <c r="AB7" s="6">
        <v>0.67272727272727195</v>
      </c>
      <c r="AC7" s="6">
        <v>232</v>
      </c>
      <c r="AD7" s="6">
        <v>429</v>
      </c>
      <c r="AE7" s="6">
        <v>1.84913793103448</v>
      </c>
      <c r="AF7" s="6">
        <v>0.41</v>
      </c>
      <c r="AG7" s="6">
        <v>0.11</v>
      </c>
      <c r="AH7" s="6">
        <v>131.47507151347301</v>
      </c>
      <c r="AI7" s="6">
        <v>0.80555555555555503</v>
      </c>
      <c r="AJ7" s="6">
        <v>0.87248322099999998</v>
      </c>
      <c r="AK7" s="6">
        <v>0.4</v>
      </c>
      <c r="AL7" s="6">
        <v>0.68292682926829196</v>
      </c>
      <c r="AM7" s="6">
        <v>0.66666666666666596</v>
      </c>
      <c r="AN7" s="6">
        <v>0.66249999999999998</v>
      </c>
      <c r="AO7" s="6">
        <v>151</v>
      </c>
      <c r="AP7" s="6">
        <v>151</v>
      </c>
      <c r="AQ7" s="6">
        <v>47</v>
      </c>
      <c r="AR7" s="6">
        <v>198</v>
      </c>
      <c r="AS7" s="6">
        <v>76.262626262626199</v>
      </c>
      <c r="AT7" s="6">
        <v>1.3112582781456901</v>
      </c>
      <c r="AU7" s="6">
        <v>0.41</v>
      </c>
      <c r="AV7" s="6">
        <v>15</v>
      </c>
      <c r="AW7" s="6">
        <v>0.09</v>
      </c>
      <c r="AX7" s="6">
        <v>82.119205298013199</v>
      </c>
      <c r="AY7" s="6">
        <v>17.880794701986702</v>
      </c>
      <c r="AZ7" s="6">
        <v>12</v>
      </c>
      <c r="BA7" s="6">
        <v>10.3333333333333</v>
      </c>
      <c r="BB7" s="6">
        <v>133.333333333333</v>
      </c>
      <c r="BC7" s="6">
        <v>19.987777777777701</v>
      </c>
      <c r="BD7" s="6">
        <v>0.60036689087775796</v>
      </c>
      <c r="BE7" s="6">
        <v>181.13962012662401</v>
      </c>
      <c r="BF7" s="6">
        <v>2</v>
      </c>
      <c r="BG7" s="6">
        <v>10.8287825287207</v>
      </c>
      <c r="BH7" s="6">
        <v>89.361702127659498</v>
      </c>
      <c r="BI7" s="6">
        <v>10.6382978723404</v>
      </c>
      <c r="BJ7" s="6">
        <v>47</v>
      </c>
      <c r="BK7" s="6">
        <v>5</v>
      </c>
      <c r="BL7" s="6">
        <v>8.4</v>
      </c>
      <c r="BM7" s="6">
        <v>105.6</v>
      </c>
      <c r="BN7" s="6">
        <v>0.25015287119906598</v>
      </c>
      <c r="BO7" s="6">
        <v>78.3333333333333</v>
      </c>
      <c r="BP7" s="6">
        <v>78.846153846153797</v>
      </c>
      <c r="BQ7" s="6">
        <v>21.1538461538461</v>
      </c>
      <c r="BR7" s="6">
        <v>104</v>
      </c>
      <c r="BS7" s="6">
        <v>7</v>
      </c>
      <c r="BT7" s="6">
        <v>11.714285714285699</v>
      </c>
      <c r="BU7" s="6">
        <v>153.142857142857</v>
      </c>
      <c r="BV7" s="6">
        <v>0.60547813551177299</v>
      </c>
      <c r="BW7" s="6">
        <v>75.362318840579704</v>
      </c>
      <c r="BX7" s="6">
        <v>926</v>
      </c>
      <c r="BY7" s="6">
        <v>330</v>
      </c>
      <c r="BZ7" s="6">
        <v>1256</v>
      </c>
      <c r="CA7" s="6">
        <v>73.726114649681506</v>
      </c>
      <c r="CB7" s="6">
        <v>10.1290322580645</v>
      </c>
      <c r="CC7" s="6">
        <v>4</v>
      </c>
      <c r="CD7" s="6">
        <v>15</v>
      </c>
      <c r="CE7" s="6">
        <v>64.920285771419202</v>
      </c>
      <c r="CF7" s="6">
        <v>18.3775375547031</v>
      </c>
      <c r="CG7" s="6">
        <v>4.7935055874325201</v>
      </c>
      <c r="CH7" s="6">
        <v>1.5301272960821799</v>
      </c>
      <c r="CI7" s="6">
        <v>5.9046402187286304</v>
      </c>
      <c r="CJ7" s="6">
        <v>1.7325838650000001</v>
      </c>
    </row>
    <row r="8" spans="1:88" x14ac:dyDescent="0.2">
      <c r="A8" s="6">
        <v>7</v>
      </c>
      <c r="B8" s="6">
        <v>1.25</v>
      </c>
      <c r="C8" s="19">
        <v>7</v>
      </c>
      <c r="D8" s="19">
        <v>0</v>
      </c>
      <c r="E8" s="20">
        <f t="shared" si="0"/>
        <v>1</v>
      </c>
      <c r="F8" s="6">
        <v>4</v>
      </c>
      <c r="G8" s="6">
        <v>3</v>
      </c>
      <c r="H8" s="20">
        <v>0.14285714285714285</v>
      </c>
      <c r="I8" s="20">
        <v>0.67833333333333334</v>
      </c>
      <c r="J8" s="6">
        <v>0.44000000000001194</v>
      </c>
      <c r="K8" s="6">
        <v>0.66763848396501402</v>
      </c>
      <c r="L8" s="6">
        <v>0.44339622641509402</v>
      </c>
      <c r="M8" s="6">
        <v>0.69130434799999996</v>
      </c>
      <c r="N8" s="6">
        <v>466</v>
      </c>
      <c r="O8" s="6">
        <v>842</v>
      </c>
      <c r="P8" s="6">
        <v>1.8068669527896899</v>
      </c>
      <c r="Q8" s="6">
        <v>1.07</v>
      </c>
      <c r="R8" s="6">
        <v>0.11</v>
      </c>
      <c r="S8" s="6">
        <v>159.61138318156199</v>
      </c>
      <c r="T8" s="6">
        <v>0.64788732400000004</v>
      </c>
      <c r="U8" s="6">
        <v>0.67279411764705799</v>
      </c>
      <c r="V8" s="6">
        <v>0.47058823529411697</v>
      </c>
      <c r="W8" s="6">
        <v>0.43820224719101097</v>
      </c>
      <c r="X8" s="6">
        <v>0.65999999999999903</v>
      </c>
      <c r="Y8" s="6">
        <v>0.69411764705882295</v>
      </c>
      <c r="Z8" s="6">
        <v>0.91943127999999996</v>
      </c>
      <c r="AA8" s="6">
        <v>0.5</v>
      </c>
      <c r="AB8" s="6">
        <v>0.63333333333333297</v>
      </c>
      <c r="AC8" s="6">
        <v>260</v>
      </c>
      <c r="AD8" s="6">
        <v>448</v>
      </c>
      <c r="AE8" s="6">
        <v>1.7230769230769201</v>
      </c>
      <c r="AF8" s="6">
        <v>0.53</v>
      </c>
      <c r="AG8" s="6">
        <v>0.13</v>
      </c>
      <c r="AH8" s="6">
        <v>139.89811551060501</v>
      </c>
      <c r="AI8" s="6">
        <v>0.83783783783783705</v>
      </c>
      <c r="AJ8" s="6">
        <v>0.93641618497109802</v>
      </c>
      <c r="AK8" s="6">
        <v>0.75</v>
      </c>
      <c r="AL8" s="6">
        <v>0.46</v>
      </c>
      <c r="AM8" s="6">
        <v>0.7</v>
      </c>
      <c r="AN8" s="6">
        <v>0.57272727272727197</v>
      </c>
      <c r="AO8" s="6">
        <v>131</v>
      </c>
      <c r="AP8" s="6">
        <v>131</v>
      </c>
      <c r="AQ8" s="6">
        <v>79</v>
      </c>
      <c r="AR8" s="6">
        <v>210</v>
      </c>
      <c r="AS8" s="6">
        <v>62.380952380952301</v>
      </c>
      <c r="AT8" s="6">
        <v>1.6030534351145</v>
      </c>
      <c r="AU8" s="6">
        <v>0.65</v>
      </c>
      <c r="AV8" s="6">
        <v>24.5</v>
      </c>
      <c r="AW8" s="6">
        <v>0.13500000000000001</v>
      </c>
      <c r="AX8" s="6">
        <v>60.305343511450303</v>
      </c>
      <c r="AY8" s="6">
        <v>39.694656488549597</v>
      </c>
      <c r="AZ8" s="6">
        <v>12</v>
      </c>
      <c r="BA8" s="6">
        <v>6.5833333333333304</v>
      </c>
      <c r="BB8" s="6">
        <v>91.5</v>
      </c>
      <c r="BC8" s="6">
        <v>21.870277777777702</v>
      </c>
      <c r="BD8" s="6">
        <v>0.54868987590971996</v>
      </c>
      <c r="BE8" s="6">
        <v>143.56528577589401</v>
      </c>
      <c r="BF8" s="6">
        <v>1</v>
      </c>
      <c r="BG8" s="6">
        <v>14.5568069483038</v>
      </c>
      <c r="BH8" s="6">
        <v>83.3333333333333</v>
      </c>
      <c r="BI8" s="6">
        <v>16.6666666666666</v>
      </c>
      <c r="BJ8" s="6">
        <v>24</v>
      </c>
      <c r="BK8" s="6">
        <v>4</v>
      </c>
      <c r="BL8" s="6">
        <v>5</v>
      </c>
      <c r="BM8" s="6">
        <v>73.75</v>
      </c>
      <c r="BN8" s="6">
        <v>0.18289662530324</v>
      </c>
      <c r="BO8" s="6">
        <v>68.571428571428498</v>
      </c>
      <c r="BP8" s="6">
        <v>55.140186915887803</v>
      </c>
      <c r="BQ8" s="6">
        <v>44.859813084112098</v>
      </c>
      <c r="BR8" s="6">
        <v>107</v>
      </c>
      <c r="BS8" s="6">
        <v>8</v>
      </c>
      <c r="BT8" s="6">
        <v>7.375</v>
      </c>
      <c r="BU8" s="6">
        <v>100.375</v>
      </c>
      <c r="BV8" s="6">
        <v>0.74385928661828105</v>
      </c>
      <c r="BW8" s="6">
        <v>61.142857142857103</v>
      </c>
      <c r="BX8" s="6">
        <v>580</v>
      </c>
      <c r="BY8" s="6">
        <v>249</v>
      </c>
      <c r="BZ8" s="6">
        <v>829</v>
      </c>
      <c r="CA8" s="6">
        <v>69.963811821471594</v>
      </c>
      <c r="CB8" s="6">
        <v>7.3362831858407</v>
      </c>
      <c r="CC8" s="6">
        <v>4</v>
      </c>
      <c r="CD8" s="6">
        <v>19</v>
      </c>
      <c r="CE8" s="6">
        <v>58.965067401072602</v>
      </c>
      <c r="CF8" s="6">
        <v>21.5007403495283</v>
      </c>
      <c r="CG8" s="6">
        <v>4.61371493561251</v>
      </c>
      <c r="CH8" s="6">
        <v>1.89070477208739</v>
      </c>
      <c r="CI8" s="6">
        <v>5.0760594093800702</v>
      </c>
      <c r="CJ8" s="6">
        <v>2.0679052811504799</v>
      </c>
    </row>
    <row r="9" spans="1:88" x14ac:dyDescent="0.2">
      <c r="A9" s="6">
        <v>8</v>
      </c>
      <c r="B9" s="6">
        <v>0.57000000000000028</v>
      </c>
      <c r="C9" s="19">
        <v>3</v>
      </c>
      <c r="D9" s="19">
        <v>0</v>
      </c>
      <c r="E9" s="20">
        <f t="shared" si="0"/>
        <v>1</v>
      </c>
      <c r="F9" s="6">
        <v>0</v>
      </c>
      <c r="G9" s="6">
        <v>1</v>
      </c>
      <c r="H9" s="20">
        <v>-1</v>
      </c>
      <c r="I9" s="20">
        <v>1.4016666666666664</v>
      </c>
      <c r="J9" s="6">
        <v>0.31000000000000227</v>
      </c>
      <c r="K9" s="6">
        <v>0.77945619335347405</v>
      </c>
      <c r="L9" s="6">
        <v>0.42307692307692302</v>
      </c>
      <c r="M9" s="6">
        <v>0.86842105263157798</v>
      </c>
      <c r="N9" s="6">
        <v>390</v>
      </c>
      <c r="O9" s="6">
        <v>634</v>
      </c>
      <c r="P9" s="6">
        <v>1.6256410256410201</v>
      </c>
      <c r="Q9" s="6">
        <v>1.19</v>
      </c>
      <c r="R9" s="6">
        <v>0.14000000000000001</v>
      </c>
      <c r="S9" s="6">
        <v>133.18366508039301</v>
      </c>
      <c r="T9" s="6">
        <v>0.65217391304347805</v>
      </c>
      <c r="U9" s="6">
        <v>0.78896103900000003</v>
      </c>
      <c r="V9" s="6">
        <v>0.5</v>
      </c>
      <c r="W9" s="6">
        <v>0.41666666666666602</v>
      </c>
      <c r="Y9" s="6">
        <v>0.85263157894736796</v>
      </c>
      <c r="Z9" s="6">
        <v>0.79591836734693799</v>
      </c>
      <c r="AA9" s="6">
        <v>0.48</v>
      </c>
      <c r="AB9" s="6">
        <v>0.52500000000000002</v>
      </c>
      <c r="AC9" s="6">
        <v>250</v>
      </c>
      <c r="AD9" s="6">
        <v>471</v>
      </c>
      <c r="AE9" s="6">
        <v>1.8839999999999999</v>
      </c>
      <c r="AF9" s="6">
        <v>0.71</v>
      </c>
      <c r="AG9" s="6">
        <v>0.12</v>
      </c>
      <c r="AH9" s="6">
        <v>131.3916566</v>
      </c>
      <c r="AI9" s="6">
        <v>0.90909090909090895</v>
      </c>
      <c r="AJ9" s="6">
        <v>0.76315789473684204</v>
      </c>
      <c r="AK9" s="6">
        <v>0.33333333333333298</v>
      </c>
      <c r="AL9" s="6">
        <v>0.52631578947368396</v>
      </c>
      <c r="AM9" s="6">
        <v>0.4</v>
      </c>
      <c r="AN9" s="6">
        <v>0.51</v>
      </c>
      <c r="AO9" s="6">
        <v>166</v>
      </c>
      <c r="AP9" s="6">
        <v>166</v>
      </c>
      <c r="AQ9" s="6">
        <v>46</v>
      </c>
      <c r="AR9" s="6">
        <v>212</v>
      </c>
      <c r="AS9" s="6">
        <v>78.301886792452805</v>
      </c>
      <c r="AT9" s="6">
        <v>1.2771084337349301</v>
      </c>
      <c r="AU9" s="6">
        <v>0.77</v>
      </c>
      <c r="AV9" s="6">
        <v>23</v>
      </c>
      <c r="AW9" s="6">
        <v>0.14000000000000001</v>
      </c>
      <c r="AX9" s="6">
        <v>66.265060240963805</v>
      </c>
      <c r="AY9" s="6">
        <v>33.734939759036102</v>
      </c>
      <c r="AZ9" s="6">
        <v>23</v>
      </c>
      <c r="BA9" s="6">
        <v>4.7826086956521703</v>
      </c>
      <c r="BB9" s="6">
        <v>61.086956521739097</v>
      </c>
      <c r="BC9" s="6">
        <v>22.4163888888888</v>
      </c>
      <c r="BD9" s="6">
        <v>1.0260350190212999</v>
      </c>
      <c r="BE9" s="6">
        <v>177.54889824213899</v>
      </c>
      <c r="BF9" s="6">
        <v>1</v>
      </c>
      <c r="BG9" s="6">
        <v>12.789722691920399</v>
      </c>
      <c r="BH9" s="6">
        <v>71.794871790000002</v>
      </c>
      <c r="BI9" s="6">
        <v>28.205128205128201</v>
      </c>
      <c r="BJ9" s="6">
        <v>39</v>
      </c>
      <c r="BK9" s="6">
        <v>4</v>
      </c>
      <c r="BL9" s="6">
        <v>7</v>
      </c>
      <c r="BM9" s="6">
        <v>110.5</v>
      </c>
      <c r="BN9" s="6">
        <v>0.17844087287326901</v>
      </c>
      <c r="BO9" s="6">
        <v>92.857142857142804</v>
      </c>
      <c r="BP9" s="6">
        <v>64.566929133858196</v>
      </c>
      <c r="BQ9" s="6">
        <v>35.433070866141698</v>
      </c>
      <c r="BR9" s="6">
        <v>127</v>
      </c>
      <c r="BS9" s="6">
        <v>19</v>
      </c>
      <c r="BT9" s="6">
        <v>4.3157894736842097</v>
      </c>
      <c r="BU9" s="6">
        <v>50.684210526315702</v>
      </c>
      <c r="BV9" s="6">
        <v>1.67278063096111</v>
      </c>
      <c r="BW9" s="6">
        <v>74.705882352941103</v>
      </c>
      <c r="BX9" s="6">
        <v>839</v>
      </c>
      <c r="BY9" s="6">
        <v>154</v>
      </c>
      <c r="BZ9" s="6">
        <v>993</v>
      </c>
      <c r="CA9" s="6">
        <v>84.491440080563905</v>
      </c>
      <c r="CB9" s="6">
        <v>8.5603448275861993</v>
      </c>
      <c r="CC9" s="6">
        <v>5.5</v>
      </c>
      <c r="CD9" s="6">
        <v>16</v>
      </c>
      <c r="CE9" s="6">
        <v>61.18756029</v>
      </c>
      <c r="CF9" s="6">
        <v>17.5522079976055</v>
      </c>
      <c r="CG9" s="6">
        <v>5.0335466257854096</v>
      </c>
      <c r="CH9" s="6">
        <v>1.7747114793819301</v>
      </c>
      <c r="CI9" s="6">
        <v>5.2730821910000003</v>
      </c>
      <c r="CJ9" s="6">
        <v>1.8366356392768499</v>
      </c>
    </row>
    <row r="10" spans="1:88" x14ac:dyDescent="0.2">
      <c r="A10" s="6">
        <v>9</v>
      </c>
      <c r="B10" s="6">
        <v>0.47999999999999687</v>
      </c>
      <c r="C10" s="19">
        <v>5</v>
      </c>
      <c r="D10" s="19">
        <v>5</v>
      </c>
      <c r="E10" s="20">
        <f t="shared" si="0"/>
        <v>0</v>
      </c>
      <c r="F10" s="6">
        <v>3</v>
      </c>
      <c r="G10" s="6">
        <v>4</v>
      </c>
      <c r="H10" s="20">
        <v>-0.14285714285714285</v>
      </c>
      <c r="I10" s="20">
        <v>1.6950000000000001</v>
      </c>
      <c r="J10" s="6">
        <v>0.14999999999999147</v>
      </c>
      <c r="K10" s="6">
        <v>0.76384839650145697</v>
      </c>
      <c r="L10" s="6">
        <v>0.45283018867924502</v>
      </c>
      <c r="M10" s="6">
        <v>0.76</v>
      </c>
      <c r="N10" s="6">
        <v>418</v>
      </c>
      <c r="O10" s="6">
        <v>691</v>
      </c>
      <c r="P10" s="6">
        <v>1.6531100478468801</v>
      </c>
      <c r="Q10" s="6">
        <v>1.07</v>
      </c>
      <c r="R10" s="6">
        <v>0.12</v>
      </c>
      <c r="S10" s="6">
        <v>145.099819605542</v>
      </c>
      <c r="T10" s="6">
        <v>0.75</v>
      </c>
      <c r="U10" s="6">
        <v>0.76547231270358296</v>
      </c>
      <c r="V10" s="6">
        <v>0.44444444444444398</v>
      </c>
      <c r="W10" s="6">
        <v>0.45454545454545398</v>
      </c>
      <c r="X10" s="6">
        <v>0.7</v>
      </c>
      <c r="Y10" s="6">
        <v>0.74736842105263102</v>
      </c>
      <c r="Z10" s="6">
        <v>0.87777777777777699</v>
      </c>
      <c r="AA10" s="6">
        <v>0.51063829787234005</v>
      </c>
      <c r="AB10" s="6">
        <v>0.72727272727272696</v>
      </c>
      <c r="AC10" s="6">
        <v>232</v>
      </c>
      <c r="AD10" s="6">
        <v>424</v>
      </c>
      <c r="AE10" s="6">
        <v>1.82758620689655</v>
      </c>
      <c r="AF10" s="6">
        <v>0.47</v>
      </c>
      <c r="AG10" s="6">
        <v>0.15</v>
      </c>
      <c r="AH10" s="6">
        <v>124.38029805007</v>
      </c>
      <c r="AI10" s="6">
        <v>0.86111111111111105</v>
      </c>
      <c r="AJ10" s="6">
        <v>0.88194444444444398</v>
      </c>
      <c r="AK10" s="6">
        <v>0.6</v>
      </c>
      <c r="AL10" s="6">
        <v>0.48648648648648601</v>
      </c>
      <c r="AM10" s="6">
        <v>0.73333333333333295</v>
      </c>
      <c r="AN10" s="6">
        <v>0.7</v>
      </c>
      <c r="AO10" s="6">
        <v>159</v>
      </c>
      <c r="AP10" s="6">
        <v>159</v>
      </c>
      <c r="AQ10" s="6">
        <v>57</v>
      </c>
      <c r="AR10" s="6">
        <v>216</v>
      </c>
      <c r="AS10" s="6">
        <v>73.6111111111111</v>
      </c>
      <c r="AT10" s="6">
        <v>1.35849056603773</v>
      </c>
      <c r="AU10" s="6">
        <v>0.47</v>
      </c>
      <c r="AV10" s="6">
        <v>39.5</v>
      </c>
      <c r="AW10" s="6">
        <v>0.08</v>
      </c>
      <c r="AX10" s="6">
        <v>61.00628931</v>
      </c>
      <c r="AY10" s="6">
        <v>38.99371069</v>
      </c>
      <c r="AZ10" s="6">
        <v>21</v>
      </c>
      <c r="BA10" s="6">
        <v>4.6190476190476097</v>
      </c>
      <c r="BB10" s="6">
        <v>63.952380952380899</v>
      </c>
      <c r="BC10" s="6">
        <v>17.126111111111101</v>
      </c>
      <c r="BD10" s="6">
        <v>1.2261978136049501</v>
      </c>
      <c r="BE10" s="6">
        <v>182.67113451412101</v>
      </c>
      <c r="BF10" s="6">
        <v>0</v>
      </c>
      <c r="BG10" s="6">
        <v>14.2551875819294</v>
      </c>
      <c r="BH10" s="6">
        <v>23.076923076922998</v>
      </c>
      <c r="BI10" s="6">
        <v>76.923076923076906</v>
      </c>
      <c r="BJ10" s="6">
        <v>13</v>
      </c>
      <c r="BK10" s="6">
        <v>1</v>
      </c>
      <c r="BL10" s="6">
        <v>3</v>
      </c>
      <c r="BM10" s="6">
        <v>44</v>
      </c>
      <c r="BN10" s="6">
        <v>5.8390372000000003E-2</v>
      </c>
      <c r="BO10" s="6">
        <v>36.1111111111111</v>
      </c>
      <c r="BP10" s="6">
        <v>64.383561643835606</v>
      </c>
      <c r="BQ10" s="6">
        <v>35.616438356164302</v>
      </c>
      <c r="BR10" s="6">
        <v>146</v>
      </c>
      <c r="BS10" s="6">
        <v>20</v>
      </c>
      <c r="BT10" s="6">
        <v>4.7</v>
      </c>
      <c r="BU10" s="6">
        <v>64.95</v>
      </c>
      <c r="BV10" s="6">
        <v>1.8294542128264999</v>
      </c>
      <c r="BW10" s="6">
        <v>81.1111111111111</v>
      </c>
      <c r="BX10" s="6">
        <v>359</v>
      </c>
      <c r="BY10" s="6">
        <v>187</v>
      </c>
      <c r="BZ10" s="6">
        <v>546</v>
      </c>
      <c r="CA10" s="6">
        <v>65.750915750915695</v>
      </c>
      <c r="CB10" s="6">
        <v>5.8709677419354804</v>
      </c>
      <c r="CC10" s="6">
        <v>3</v>
      </c>
      <c r="CD10" s="6">
        <v>22</v>
      </c>
      <c r="CE10" s="6">
        <v>48.9894463446308</v>
      </c>
      <c r="CF10" s="6">
        <v>24.302157996177598</v>
      </c>
      <c r="CG10" s="6">
        <v>3.6109827138978199</v>
      </c>
      <c r="CH10" s="6">
        <v>2.5387074854044398</v>
      </c>
      <c r="CI10" s="6">
        <v>3.81958502310524</v>
      </c>
      <c r="CJ10" s="6">
        <v>2.708362191</v>
      </c>
    </row>
    <row r="11" spans="1:88" x14ac:dyDescent="0.2">
      <c r="A11" s="6">
        <v>10</v>
      </c>
      <c r="B11" s="6">
        <v>0.23000000000000043</v>
      </c>
      <c r="C11" s="19">
        <v>15</v>
      </c>
      <c r="D11" s="19">
        <v>0</v>
      </c>
      <c r="E11" s="20">
        <f t="shared" si="0"/>
        <v>1</v>
      </c>
      <c r="F11" s="6">
        <v>4</v>
      </c>
      <c r="G11" s="6">
        <v>0</v>
      </c>
      <c r="H11" s="20">
        <v>1</v>
      </c>
      <c r="I11" s="20">
        <v>0.90583333333333338</v>
      </c>
      <c r="J11" s="6">
        <v>0.12999999999999545</v>
      </c>
      <c r="K11" s="6">
        <v>0.74193548387096697</v>
      </c>
      <c r="L11" s="6">
        <v>0.50819672131147497</v>
      </c>
      <c r="M11" s="6">
        <v>0.69047619047619002</v>
      </c>
      <c r="N11" s="6">
        <v>435</v>
      </c>
      <c r="O11" s="6">
        <v>738</v>
      </c>
      <c r="P11" s="6">
        <v>1.69655172413793</v>
      </c>
      <c r="Q11" s="6">
        <v>1.25</v>
      </c>
      <c r="R11" s="6">
        <v>0.13</v>
      </c>
      <c r="S11" s="6">
        <v>152.10898229766099</v>
      </c>
      <c r="T11" s="6">
        <v>0.61538461538461497</v>
      </c>
      <c r="U11" s="6">
        <v>0.76014760147601401</v>
      </c>
      <c r="V11" s="6">
        <v>0.25</v>
      </c>
      <c r="W11" s="6">
        <v>0.54716981132075404</v>
      </c>
      <c r="X11" s="6">
        <v>0.5</v>
      </c>
      <c r="Y11" s="6">
        <v>0.70499999999999996</v>
      </c>
      <c r="Z11" s="6">
        <v>0.87567567567567495</v>
      </c>
      <c r="AA11" s="6">
        <v>0.42857142857142799</v>
      </c>
      <c r="AB11" s="6">
        <v>0.68181818181818099</v>
      </c>
      <c r="AC11" s="6">
        <v>236</v>
      </c>
      <c r="AD11" s="6">
        <v>430</v>
      </c>
      <c r="AE11" s="6">
        <v>1.8220338983050799</v>
      </c>
      <c r="AF11" s="6">
        <v>0.47</v>
      </c>
      <c r="AG11" s="6">
        <v>0.11</v>
      </c>
      <c r="AH11" s="6">
        <v>124.486594929782</v>
      </c>
      <c r="AI11" s="6">
        <v>0.89743589743589702</v>
      </c>
      <c r="AJ11" s="6">
        <v>0.86986301369862995</v>
      </c>
      <c r="AK11" s="6">
        <v>0.25</v>
      </c>
      <c r="AL11" s="6">
        <v>0.45833333333333298</v>
      </c>
      <c r="AM11" s="6">
        <v>0.7</v>
      </c>
      <c r="AN11" s="6">
        <v>0.64545454545454495</v>
      </c>
      <c r="AO11" s="6">
        <v>150</v>
      </c>
      <c r="AP11" s="6">
        <v>150</v>
      </c>
      <c r="AQ11" s="6">
        <v>108</v>
      </c>
      <c r="AR11" s="6">
        <v>258</v>
      </c>
      <c r="AS11" s="6">
        <v>58.139534883720899</v>
      </c>
      <c r="AT11" s="6">
        <v>1.72</v>
      </c>
      <c r="AU11" s="6">
        <v>0.71</v>
      </c>
      <c r="AV11" s="6">
        <v>20</v>
      </c>
      <c r="AW11" s="6">
        <v>0.14000000000000001</v>
      </c>
      <c r="AX11" s="6">
        <v>60.6666666666666</v>
      </c>
      <c r="AY11" s="6">
        <v>39.3333333333333</v>
      </c>
      <c r="AZ11" s="6">
        <v>14</v>
      </c>
      <c r="BA11" s="6">
        <v>6.5</v>
      </c>
      <c r="BB11" s="6">
        <v>79.428571428571402</v>
      </c>
      <c r="BC11" s="6">
        <v>21.983888888888799</v>
      </c>
      <c r="BD11" s="6">
        <v>0.63683000176897198</v>
      </c>
      <c r="BE11" s="6">
        <v>163.39910483515001</v>
      </c>
      <c r="BF11" s="6">
        <v>1</v>
      </c>
      <c r="BG11" s="6">
        <v>10.4385010926991</v>
      </c>
      <c r="BH11" s="6">
        <v>84.615384615384599</v>
      </c>
      <c r="BI11" s="6">
        <v>15.3846153846153</v>
      </c>
      <c r="BJ11" s="6">
        <v>39</v>
      </c>
      <c r="BK11" s="6">
        <v>6</v>
      </c>
      <c r="BL11" s="6">
        <v>5.5</v>
      </c>
      <c r="BM11" s="6">
        <v>66</v>
      </c>
      <c r="BN11" s="6">
        <v>0.27292714361527298</v>
      </c>
      <c r="BO11" s="6">
        <v>76.470588235294102</v>
      </c>
      <c r="BP11" s="6">
        <v>52.252252252252198</v>
      </c>
      <c r="BQ11" s="6">
        <v>47.747747747747702</v>
      </c>
      <c r="BR11" s="6">
        <v>111</v>
      </c>
      <c r="BS11" s="6">
        <v>8</v>
      </c>
      <c r="BT11" s="6">
        <v>7.25</v>
      </c>
      <c r="BU11" s="6">
        <v>89.5</v>
      </c>
      <c r="BV11" s="6">
        <v>0.725605300949837</v>
      </c>
      <c r="BW11" s="6">
        <v>53.623188405797102</v>
      </c>
      <c r="BX11" s="6">
        <v>1016</v>
      </c>
      <c r="BY11" s="6">
        <v>334</v>
      </c>
      <c r="BZ11" s="6">
        <v>1350</v>
      </c>
      <c r="CA11" s="6">
        <v>75.259259259259196</v>
      </c>
      <c r="CB11" s="6">
        <v>9.375</v>
      </c>
      <c r="CC11" s="6">
        <v>6</v>
      </c>
      <c r="CD11" s="6">
        <v>17</v>
      </c>
      <c r="CE11" s="6">
        <v>76.043786786951898</v>
      </c>
      <c r="CF11" s="6">
        <v>18.6418463773844</v>
      </c>
      <c r="CG11" s="6">
        <v>6.54909258290194</v>
      </c>
      <c r="CH11" s="6">
        <v>2.3583996725783201</v>
      </c>
      <c r="CI11" s="6">
        <v>6.80135972390348</v>
      </c>
      <c r="CJ11" s="6">
        <v>2.4559131985776599</v>
      </c>
    </row>
    <row r="12" spans="1:88" x14ac:dyDescent="0.2">
      <c r="A12" s="6">
        <v>11</v>
      </c>
      <c r="B12" s="6">
        <v>0.15999999999999659</v>
      </c>
      <c r="C12" s="19">
        <v>13</v>
      </c>
      <c r="D12" s="19">
        <v>0</v>
      </c>
      <c r="E12" s="20">
        <f t="shared" si="0"/>
        <v>1</v>
      </c>
      <c r="F12" s="6">
        <v>1</v>
      </c>
      <c r="G12" s="6">
        <v>9</v>
      </c>
      <c r="H12" s="20">
        <v>-0.8</v>
      </c>
      <c r="I12" s="20">
        <v>0.98333333333333284</v>
      </c>
      <c r="J12" s="6">
        <v>0.9100000000000108</v>
      </c>
      <c r="K12" s="6">
        <v>0.73619631901840399</v>
      </c>
      <c r="L12" s="6">
        <v>0.49180327868852403</v>
      </c>
      <c r="M12" s="6">
        <v>0.72380952380952301</v>
      </c>
      <c r="N12" s="6">
        <v>423</v>
      </c>
      <c r="O12" s="6">
        <v>711</v>
      </c>
      <c r="P12" s="6">
        <v>1.68085106382978</v>
      </c>
      <c r="Q12" s="6">
        <v>0.95</v>
      </c>
      <c r="R12" s="6">
        <v>0.13</v>
      </c>
      <c r="S12" s="6">
        <v>145.18066545905199</v>
      </c>
      <c r="T12" s="6">
        <v>0.79166666666666596</v>
      </c>
      <c r="U12" s="6">
        <v>0.71936758893280595</v>
      </c>
      <c r="V12" s="6">
        <v>0.5</v>
      </c>
      <c r="W12" s="6">
        <v>0.48979591836734598</v>
      </c>
      <c r="X12" s="6">
        <v>0.78333333333333299</v>
      </c>
      <c r="Y12" s="6">
        <v>0.6875</v>
      </c>
      <c r="Z12" s="6">
        <v>0.80451127819548796</v>
      </c>
      <c r="AA12" s="6">
        <v>0.56000000000000005</v>
      </c>
      <c r="AB12" s="6">
        <v>0.71250000000000002</v>
      </c>
      <c r="AC12" s="6">
        <v>168</v>
      </c>
      <c r="AD12" s="6">
        <v>315</v>
      </c>
      <c r="AE12" s="6">
        <v>1.875</v>
      </c>
      <c r="AF12" s="6">
        <v>0.47</v>
      </c>
      <c r="AG12" s="6">
        <v>0.12</v>
      </c>
      <c r="AH12" s="6">
        <v>94.174707187451602</v>
      </c>
      <c r="AI12" s="6">
        <v>0.9</v>
      </c>
      <c r="AJ12" s="6">
        <v>0.77669902912621303</v>
      </c>
      <c r="AK12" s="6">
        <v>0.4</v>
      </c>
      <c r="AL12" s="6">
        <v>0.6</v>
      </c>
      <c r="AM12" s="6">
        <v>0.72499999999999998</v>
      </c>
      <c r="AN12" s="6">
        <v>0.7</v>
      </c>
      <c r="AO12" s="6">
        <v>148</v>
      </c>
      <c r="AP12" s="6">
        <v>148</v>
      </c>
      <c r="AQ12" s="6">
        <v>85</v>
      </c>
      <c r="AR12" s="6">
        <v>233</v>
      </c>
      <c r="AS12" s="6">
        <v>63.519313304721003</v>
      </c>
      <c r="AT12" s="6">
        <v>1.5743243243243199</v>
      </c>
      <c r="AU12" s="6">
        <v>0.53</v>
      </c>
      <c r="AV12" s="6">
        <v>31</v>
      </c>
      <c r="AW12" s="6">
        <v>0.12</v>
      </c>
      <c r="AX12" s="6">
        <v>73.648648648648603</v>
      </c>
      <c r="AY12" s="6">
        <v>26.351351351351301</v>
      </c>
      <c r="AZ12" s="6">
        <v>23</v>
      </c>
      <c r="BA12" s="6">
        <v>4.7391304347826004</v>
      </c>
      <c r="BB12" s="6">
        <v>79.565217391304301</v>
      </c>
      <c r="BC12" s="6">
        <v>22.746944444444399</v>
      </c>
      <c r="BD12" s="6">
        <v>1.01112481529875</v>
      </c>
      <c r="BE12" s="6">
        <v>156.06707838015899</v>
      </c>
      <c r="BF12" s="6">
        <v>1</v>
      </c>
      <c r="BG12" s="6">
        <v>15.215554879999999</v>
      </c>
      <c r="BH12" s="6">
        <v>58.823529409999999</v>
      </c>
      <c r="BI12" s="6">
        <v>41.176470590000001</v>
      </c>
      <c r="BJ12" s="6">
        <v>34</v>
      </c>
      <c r="BK12" s="6">
        <v>4</v>
      </c>
      <c r="BL12" s="6">
        <v>5</v>
      </c>
      <c r="BM12" s="6">
        <v>73</v>
      </c>
      <c r="BN12" s="6">
        <v>0.175847793965001</v>
      </c>
      <c r="BO12" s="6">
        <v>50.746268656716403</v>
      </c>
      <c r="BP12" s="6">
        <v>78.07017544</v>
      </c>
      <c r="BQ12" s="6">
        <v>21.9298245614035</v>
      </c>
      <c r="BR12" s="6">
        <v>114</v>
      </c>
      <c r="BS12" s="6">
        <v>19</v>
      </c>
      <c r="BT12" s="6">
        <v>4.6842105263157796</v>
      </c>
      <c r="BU12" s="6">
        <v>80.947368421052602</v>
      </c>
      <c r="BV12" s="6">
        <v>1.6585838991270601</v>
      </c>
      <c r="BW12" s="6">
        <v>68.674698795180703</v>
      </c>
      <c r="BX12" s="6">
        <v>807</v>
      </c>
      <c r="BY12" s="6">
        <v>203</v>
      </c>
      <c r="BZ12" s="6">
        <v>1010</v>
      </c>
      <c r="CA12" s="6">
        <v>79.900990100000001</v>
      </c>
      <c r="CB12" s="6">
        <v>7.5939849624060098</v>
      </c>
      <c r="CC12" s="6">
        <v>5</v>
      </c>
      <c r="CD12" s="6">
        <v>20</v>
      </c>
      <c r="CE12" s="6">
        <v>69.346915621643106</v>
      </c>
      <c r="CF12" s="6">
        <v>21.752422551870499</v>
      </c>
      <c r="CG12" s="6">
        <v>5.2589589500000002</v>
      </c>
      <c r="CH12" s="6">
        <v>2.6603721842259</v>
      </c>
      <c r="CI12" s="6">
        <v>5.4422501027576597</v>
      </c>
      <c r="CJ12" s="6">
        <v>2.76911837143146</v>
      </c>
    </row>
    <row r="13" spans="1:88" x14ac:dyDescent="0.2">
      <c r="A13" s="6">
        <v>12</v>
      </c>
      <c r="B13" s="6">
        <v>1.0999999999999979</v>
      </c>
      <c r="C13" s="19">
        <v>2</v>
      </c>
      <c r="D13" s="19">
        <v>3</v>
      </c>
      <c r="E13" s="20">
        <f t="shared" si="0"/>
        <v>-0.2</v>
      </c>
      <c r="F13" s="6">
        <v>4</v>
      </c>
      <c r="G13" s="6">
        <v>1</v>
      </c>
      <c r="H13" s="20">
        <v>0.6</v>
      </c>
      <c r="I13" s="20">
        <v>1.1124999999999987</v>
      </c>
      <c r="J13" s="6">
        <v>0.22999999999998977</v>
      </c>
      <c r="K13" s="6">
        <v>0.73793103448275799</v>
      </c>
      <c r="L13" s="6">
        <v>0.58620689655172398</v>
      </c>
      <c r="M13" s="6">
        <v>0.79444444444444395</v>
      </c>
      <c r="N13" s="6">
        <v>371</v>
      </c>
      <c r="O13" s="6">
        <v>629</v>
      </c>
      <c r="P13" s="6">
        <v>1.6954177897574101</v>
      </c>
      <c r="Q13" s="6">
        <v>1.43</v>
      </c>
      <c r="R13" s="6">
        <v>0.13</v>
      </c>
      <c r="S13" s="6">
        <v>129.13965715206501</v>
      </c>
      <c r="T13" s="6">
        <v>0.70270270270270196</v>
      </c>
      <c r="U13" s="6">
        <v>0.74654377880184297</v>
      </c>
      <c r="V13" s="6">
        <v>0.46153846153846101</v>
      </c>
      <c r="W13" s="6">
        <v>0.62222222222222201</v>
      </c>
      <c r="X13" s="6">
        <v>0.57499999999999996</v>
      </c>
      <c r="Y13" s="6">
        <v>0.78</v>
      </c>
      <c r="Z13" s="6">
        <v>0.89328063241106703</v>
      </c>
      <c r="AA13" s="6">
        <v>0.46511627906976699</v>
      </c>
      <c r="AB13" s="6">
        <v>0.69285714285714195</v>
      </c>
      <c r="AC13" s="6">
        <v>303</v>
      </c>
      <c r="AD13" s="6">
        <v>567</v>
      </c>
      <c r="AE13" s="6">
        <v>1.8712871287128701</v>
      </c>
      <c r="AF13" s="6">
        <v>0.53</v>
      </c>
      <c r="AG13" s="6">
        <v>0.14000000000000001</v>
      </c>
      <c r="AH13" s="6">
        <v>160.75060175860801</v>
      </c>
      <c r="AI13" s="6">
        <v>0.93333333333333302</v>
      </c>
      <c r="AJ13" s="6">
        <v>0.88461538461538403</v>
      </c>
      <c r="AK13" s="6">
        <v>0.5</v>
      </c>
      <c r="AL13" s="6">
        <v>0.45161290322580599</v>
      </c>
      <c r="AM13" s="6">
        <v>0.75</v>
      </c>
      <c r="AN13" s="6">
        <v>0.65</v>
      </c>
      <c r="AO13" s="6">
        <v>174</v>
      </c>
      <c r="AP13" s="6">
        <v>174</v>
      </c>
      <c r="AQ13" s="6">
        <v>98</v>
      </c>
      <c r="AR13" s="6">
        <v>272</v>
      </c>
      <c r="AS13" s="6">
        <v>63.970588235294102</v>
      </c>
      <c r="AT13" s="6">
        <v>1.56321839080459</v>
      </c>
      <c r="AU13" s="6">
        <v>0.59</v>
      </c>
      <c r="AV13" s="6">
        <v>24</v>
      </c>
      <c r="AW13" s="6">
        <v>0.105</v>
      </c>
      <c r="AX13" s="6">
        <v>67.816091950000001</v>
      </c>
      <c r="AY13" s="6">
        <v>32.183908045976999</v>
      </c>
      <c r="AZ13" s="6">
        <v>16</v>
      </c>
      <c r="BA13" s="6">
        <v>7.375</v>
      </c>
      <c r="BB13" s="6">
        <v>132.25</v>
      </c>
      <c r="BC13" s="6">
        <v>22.433888888888799</v>
      </c>
      <c r="BD13" s="6">
        <v>0.71320670612416703</v>
      </c>
      <c r="BE13" s="6">
        <v>185.94434137291199</v>
      </c>
      <c r="BF13" s="6">
        <v>1</v>
      </c>
      <c r="BG13" s="6">
        <v>18.384773837911698</v>
      </c>
      <c r="BH13" s="6">
        <v>72</v>
      </c>
      <c r="BI13" s="6">
        <v>28</v>
      </c>
      <c r="BJ13" s="6">
        <v>25</v>
      </c>
      <c r="BK13" s="6">
        <v>3</v>
      </c>
      <c r="BL13" s="6">
        <v>6</v>
      </c>
      <c r="BM13" s="6">
        <v>116.666666666666</v>
      </c>
      <c r="BN13" s="6">
        <v>0.13372625739828101</v>
      </c>
      <c r="BO13" s="6">
        <v>86.2068965517241</v>
      </c>
      <c r="BP13" s="6">
        <v>67.114093959731505</v>
      </c>
      <c r="BQ13" s="6">
        <v>32.885906040268402</v>
      </c>
      <c r="BR13" s="6">
        <v>149</v>
      </c>
      <c r="BS13" s="6">
        <v>13</v>
      </c>
      <c r="BT13" s="6">
        <v>7.6923076923076898</v>
      </c>
      <c r="BU13" s="6">
        <v>135.84615384615299</v>
      </c>
      <c r="BV13" s="6">
        <v>1.16397642201606</v>
      </c>
      <c r="BW13" s="6">
        <v>61.316872427983498</v>
      </c>
      <c r="BX13" s="6">
        <v>2040</v>
      </c>
      <c r="BY13" s="6">
        <v>573</v>
      </c>
      <c r="BZ13" s="6">
        <v>2613</v>
      </c>
      <c r="CA13" s="6">
        <v>78.071182550000003</v>
      </c>
      <c r="CB13" s="6">
        <v>13.973262032085501</v>
      </c>
      <c r="CC13" s="6">
        <v>7</v>
      </c>
      <c r="CD13" s="6">
        <v>15</v>
      </c>
      <c r="CE13" s="6">
        <v>98.079304570000005</v>
      </c>
      <c r="CF13" s="6">
        <v>17.027391650983201</v>
      </c>
      <c r="CG13" s="6">
        <v>8.2129658560000003</v>
      </c>
      <c r="CH13" s="6">
        <v>1.8304471767782999</v>
      </c>
      <c r="CI13" s="6">
        <v>8.9118753304241203</v>
      </c>
      <c r="CJ13" s="6">
        <v>1.94777299715446</v>
      </c>
    </row>
    <row r="14" spans="1:88" x14ac:dyDescent="0.2">
      <c r="A14" s="6">
        <v>13</v>
      </c>
      <c r="B14" s="6">
        <v>-0.28000000000000114</v>
      </c>
      <c r="C14" s="19">
        <v>9</v>
      </c>
      <c r="D14" s="19">
        <v>0</v>
      </c>
      <c r="E14" s="20">
        <f t="shared" si="0"/>
        <v>1</v>
      </c>
      <c r="F14" s="6">
        <v>5</v>
      </c>
      <c r="G14" s="6">
        <v>4</v>
      </c>
      <c r="H14" s="20">
        <v>0.1111111111111111</v>
      </c>
      <c r="I14" s="20">
        <v>0.98833333333333317</v>
      </c>
      <c r="J14" s="6">
        <v>0.62999999999999545</v>
      </c>
      <c r="Z14" s="6">
        <v>0.83919597989949701</v>
      </c>
      <c r="AA14" s="6">
        <v>0.48</v>
      </c>
      <c r="AB14" s="6">
        <v>0.68333333333333302</v>
      </c>
      <c r="AC14" s="6">
        <v>258</v>
      </c>
      <c r="AD14" s="6">
        <v>497</v>
      </c>
      <c r="AE14" s="6">
        <v>1.92635658914728</v>
      </c>
      <c r="AF14" s="6">
        <v>0.83</v>
      </c>
      <c r="AG14" s="6">
        <v>0.13</v>
      </c>
      <c r="AH14" s="6">
        <v>136.16106333072699</v>
      </c>
      <c r="AI14" s="6">
        <v>0.85294117647058798</v>
      </c>
      <c r="AJ14" s="6">
        <v>0.83636363636363598</v>
      </c>
      <c r="AK14" s="6">
        <v>0.33333333333333298</v>
      </c>
      <c r="AL14" s="6">
        <v>0.52631578947368396</v>
      </c>
      <c r="AM14" s="6">
        <v>0.25</v>
      </c>
      <c r="AN14" s="6">
        <v>0.69090909099999998</v>
      </c>
      <c r="AO14" s="6">
        <v>161</v>
      </c>
      <c r="AP14" s="6">
        <v>161</v>
      </c>
      <c r="AQ14" s="6">
        <v>119</v>
      </c>
      <c r="AR14" s="6">
        <v>280</v>
      </c>
      <c r="AS14" s="6">
        <v>57.499999999999901</v>
      </c>
      <c r="AT14" s="6">
        <v>1.7391304347826</v>
      </c>
      <c r="AU14" s="6">
        <v>0.59</v>
      </c>
      <c r="AV14" s="6">
        <v>26.5</v>
      </c>
      <c r="AW14" s="6">
        <v>0.11</v>
      </c>
      <c r="AX14" s="6">
        <v>68.322981366459601</v>
      </c>
      <c r="AY14" s="6">
        <v>31.6770186335403</v>
      </c>
      <c r="AZ14" s="6">
        <v>16</v>
      </c>
      <c r="BA14" s="6">
        <v>6.875</v>
      </c>
      <c r="BB14" s="6">
        <v>111.875</v>
      </c>
      <c r="BC14" s="6">
        <v>20.8958333333333</v>
      </c>
      <c r="BD14" s="6">
        <v>0.765702891</v>
      </c>
      <c r="BE14" s="6">
        <v>184.43669535010099</v>
      </c>
      <c r="BF14" s="6">
        <v>10</v>
      </c>
      <c r="BG14" s="6">
        <v>20.561839572952401</v>
      </c>
      <c r="BH14" s="6">
        <v>70.270270270270203</v>
      </c>
      <c r="BI14" s="6">
        <v>29.729729729729701</v>
      </c>
      <c r="BJ14" s="6">
        <v>37</v>
      </c>
      <c r="BK14" s="6">
        <v>4</v>
      </c>
      <c r="BL14" s="6">
        <v>6.5</v>
      </c>
      <c r="BM14" s="6">
        <v>129.25</v>
      </c>
      <c r="BN14" s="6">
        <v>0.191425722831505</v>
      </c>
      <c r="BO14" s="6">
        <v>82.608695650000001</v>
      </c>
      <c r="BP14" s="6">
        <v>67.741935483870904</v>
      </c>
      <c r="BQ14" s="6">
        <v>32.258064516128997</v>
      </c>
      <c r="BR14" s="6">
        <v>124</v>
      </c>
      <c r="BS14" s="6">
        <v>12</v>
      </c>
      <c r="BT14" s="6">
        <v>7</v>
      </c>
      <c r="BU14" s="6">
        <v>106.083333333333</v>
      </c>
      <c r="BV14" s="6">
        <v>1.02732396375829</v>
      </c>
      <c r="BW14" s="6">
        <v>52.564102564102498</v>
      </c>
      <c r="BX14" s="6">
        <v>1247</v>
      </c>
      <c r="BY14" s="6">
        <v>394</v>
      </c>
      <c r="BZ14" s="6">
        <v>1641</v>
      </c>
      <c r="CA14" s="6">
        <v>75.9902498476538</v>
      </c>
      <c r="CB14" s="6">
        <v>10.386075949366999</v>
      </c>
      <c r="CC14" s="6">
        <v>5</v>
      </c>
      <c r="CD14" s="6">
        <v>21</v>
      </c>
      <c r="CE14" s="6">
        <v>82.269845478870806</v>
      </c>
      <c r="CF14" s="6">
        <v>24.088661105127098</v>
      </c>
      <c r="CG14" s="6">
        <v>4.96564337593031</v>
      </c>
      <c r="CH14" s="6">
        <v>2.0901767639585702</v>
      </c>
      <c r="CI14" s="6">
        <v>5.50801462231908</v>
      </c>
      <c r="CJ14" s="6">
        <v>2.2771989756103999</v>
      </c>
    </row>
    <row r="15" spans="1:88" x14ac:dyDescent="0.2">
      <c r="A15" s="6">
        <v>14</v>
      </c>
      <c r="B15" s="6">
        <v>1.4699999999999989</v>
      </c>
      <c r="C15" s="19">
        <v>11</v>
      </c>
      <c r="D15" s="19">
        <v>0</v>
      </c>
      <c r="E15" s="20">
        <f t="shared" si="0"/>
        <v>1</v>
      </c>
      <c r="F15" s="6">
        <v>3</v>
      </c>
      <c r="G15" s="6">
        <v>4</v>
      </c>
      <c r="H15" s="20">
        <v>-0.14285714285714285</v>
      </c>
      <c r="I15" s="20">
        <v>0.98666666666666669</v>
      </c>
      <c r="J15" s="6">
        <v>0.56999999999999318</v>
      </c>
      <c r="K15" s="6">
        <v>0.73129251700680198</v>
      </c>
      <c r="L15" s="6">
        <v>0.41489361702127597</v>
      </c>
      <c r="M15" s="6">
        <v>0.78421052631578902</v>
      </c>
      <c r="N15" s="6">
        <v>404</v>
      </c>
      <c r="O15" s="6">
        <v>739</v>
      </c>
      <c r="P15" s="6">
        <v>1.82920792079207</v>
      </c>
      <c r="Q15" s="6">
        <v>0.77</v>
      </c>
      <c r="R15" s="6">
        <v>0.13</v>
      </c>
      <c r="S15" s="6">
        <v>141.61068393363001</v>
      </c>
      <c r="T15" s="6">
        <v>0.88636363636363602</v>
      </c>
      <c r="U15" s="6">
        <v>0.70399999999999996</v>
      </c>
      <c r="V15" s="6">
        <v>0.22222222222222199</v>
      </c>
      <c r="W15" s="6">
        <v>0.435294117647058</v>
      </c>
      <c r="X15" s="6">
        <v>0.9</v>
      </c>
      <c r="Y15" s="6">
        <v>0.71111111100000002</v>
      </c>
      <c r="Z15" s="6">
        <v>0.84693877551020402</v>
      </c>
      <c r="AA15" s="6">
        <v>0.5</v>
      </c>
      <c r="AB15" s="6">
        <v>0.7</v>
      </c>
      <c r="AC15" s="6">
        <v>271</v>
      </c>
      <c r="AD15" s="6">
        <v>476</v>
      </c>
      <c r="AE15" s="6">
        <v>1.75645756457564</v>
      </c>
      <c r="AF15" s="6">
        <v>0.53</v>
      </c>
      <c r="AG15" s="6">
        <v>0.12</v>
      </c>
      <c r="AH15" s="6">
        <v>143.388877661626</v>
      </c>
      <c r="AI15" s="6">
        <v>0.87179487179487103</v>
      </c>
      <c r="AJ15" s="6">
        <v>0.84076433121019101</v>
      </c>
      <c r="AK15" s="6">
        <v>0.75</v>
      </c>
      <c r="AL15" s="6">
        <v>0.47916666666666602</v>
      </c>
      <c r="AM15" s="6">
        <v>0.9</v>
      </c>
      <c r="AN15" s="6">
        <v>0.65999999999999903</v>
      </c>
      <c r="AO15" s="6">
        <v>178</v>
      </c>
      <c r="AP15" s="6">
        <v>178</v>
      </c>
      <c r="AQ15" s="6">
        <v>94</v>
      </c>
      <c r="AR15" s="6">
        <v>272</v>
      </c>
      <c r="AS15" s="6">
        <v>65.441176470588204</v>
      </c>
      <c r="AT15" s="6">
        <v>1.5280898876404401</v>
      </c>
      <c r="AU15" s="6">
        <v>0.65</v>
      </c>
      <c r="AV15" s="6">
        <v>92</v>
      </c>
      <c r="AW15" s="6">
        <v>0.11</v>
      </c>
      <c r="AX15" s="6">
        <v>43.258426966292099</v>
      </c>
      <c r="AY15" s="6">
        <v>56.741573033707802</v>
      </c>
      <c r="AZ15" s="6">
        <v>16</v>
      </c>
      <c r="BA15" s="6">
        <v>4.8125</v>
      </c>
      <c r="BB15" s="6">
        <v>72.625</v>
      </c>
      <c r="BC15" s="6">
        <v>22.4305555555555</v>
      </c>
      <c r="BD15" s="6">
        <v>0.71331269349845094</v>
      </c>
      <c r="BE15" s="6">
        <v>189.100924650796</v>
      </c>
      <c r="BF15" s="6">
        <v>21</v>
      </c>
      <c r="BG15" s="6">
        <v>14.0320789760724</v>
      </c>
      <c r="BH15" s="6">
        <v>73.076923076922995</v>
      </c>
      <c r="BI15" s="6">
        <v>26.923076923076898</v>
      </c>
      <c r="BJ15" s="6">
        <v>26</v>
      </c>
      <c r="BK15" s="6">
        <v>4</v>
      </c>
      <c r="BL15" s="6">
        <v>4.75</v>
      </c>
      <c r="BM15" s="6">
        <v>76.75</v>
      </c>
      <c r="BN15" s="6">
        <v>0.17832817337461199</v>
      </c>
      <c r="BO15" s="6">
        <v>60.465116279069697</v>
      </c>
      <c r="BP15" s="6">
        <v>38.157894740000003</v>
      </c>
      <c r="BQ15" s="6">
        <v>61.842105259999997</v>
      </c>
      <c r="BR15" s="6">
        <v>152</v>
      </c>
      <c r="BS15" s="6">
        <v>12</v>
      </c>
      <c r="BT15" s="6">
        <v>4.8333333333333304</v>
      </c>
      <c r="BU15" s="6">
        <v>71.25</v>
      </c>
      <c r="BV15" s="6">
        <v>1.0125870191969599</v>
      </c>
      <c r="BW15" s="6">
        <v>66.375545851528301</v>
      </c>
      <c r="BX15" s="6">
        <v>1064</v>
      </c>
      <c r="BY15" s="6">
        <v>409</v>
      </c>
      <c r="BZ15" s="6">
        <v>1473</v>
      </c>
      <c r="CA15" s="6">
        <v>72.233536999321103</v>
      </c>
      <c r="CB15" s="6">
        <v>10.7518248175182</v>
      </c>
      <c r="CC15" s="6">
        <v>4</v>
      </c>
      <c r="CD15" s="6">
        <v>19</v>
      </c>
      <c r="CE15" s="6">
        <v>71.394622242059398</v>
      </c>
      <c r="CF15" s="6">
        <v>22.917349785433601</v>
      </c>
      <c r="CG15" s="6">
        <v>3.9292160479660998</v>
      </c>
      <c r="CH15" s="6">
        <v>1.4427884702590399</v>
      </c>
      <c r="CI15" s="6">
        <v>5.2295098209202999</v>
      </c>
      <c r="CJ15" s="6">
        <v>1.6873167049867901</v>
      </c>
    </row>
    <row r="16" spans="1:88" x14ac:dyDescent="0.2">
      <c r="A16" s="6">
        <v>15</v>
      </c>
      <c r="B16" s="6">
        <v>0.71000000000000085</v>
      </c>
      <c r="C16" s="19">
        <v>5</v>
      </c>
      <c r="D16" s="19">
        <v>0</v>
      </c>
      <c r="E16" s="20">
        <f t="shared" si="0"/>
        <v>1</v>
      </c>
      <c r="F16" s="6">
        <v>3</v>
      </c>
      <c r="G16" s="6">
        <v>3</v>
      </c>
      <c r="H16" s="20">
        <v>0</v>
      </c>
      <c r="I16" s="20">
        <v>1.1924999999999997</v>
      </c>
      <c r="J16" s="6">
        <v>0.48999999999999488</v>
      </c>
      <c r="K16" s="6">
        <v>0.73033707865168496</v>
      </c>
      <c r="L16" s="6">
        <v>0.506493506493506</v>
      </c>
      <c r="M16" s="6">
        <v>0.75714285699999995</v>
      </c>
      <c r="N16" s="6">
        <v>442</v>
      </c>
      <c r="O16" s="6">
        <v>737</v>
      </c>
      <c r="P16" s="6">
        <v>1.6674208144796301</v>
      </c>
      <c r="Q16" s="6">
        <v>0.71</v>
      </c>
      <c r="R16" s="6">
        <v>0.15</v>
      </c>
      <c r="S16" s="6">
        <v>153.205592625355</v>
      </c>
      <c r="T16" s="6">
        <v>0.54285714285714204</v>
      </c>
      <c r="U16" s="6">
        <v>0.75312500000000004</v>
      </c>
      <c r="V16" s="6">
        <v>0.45454545454545398</v>
      </c>
      <c r="W16" s="6">
        <v>0.51515151515151503</v>
      </c>
      <c r="X16" s="6">
        <v>0.7</v>
      </c>
      <c r="Y16" s="6">
        <v>0.75714285714285701</v>
      </c>
      <c r="Z16" s="6">
        <v>0.84895833333333304</v>
      </c>
      <c r="AA16" s="6">
        <v>0.4</v>
      </c>
      <c r="AB16" s="6">
        <v>0.69</v>
      </c>
      <c r="AC16" s="6">
        <v>224</v>
      </c>
      <c r="AD16" s="6">
        <v>404</v>
      </c>
      <c r="AE16" s="6">
        <v>1.8035714285714199</v>
      </c>
      <c r="AF16" s="6">
        <v>0.35</v>
      </c>
      <c r="AG16" s="6">
        <v>0.13</v>
      </c>
      <c r="AH16" s="6">
        <v>123.77198958379699</v>
      </c>
      <c r="AI16" s="6">
        <v>0.78571428571428503</v>
      </c>
      <c r="AJ16" s="6">
        <v>0.85975609756097504</v>
      </c>
      <c r="AK16" s="6">
        <v>0.33333333333333298</v>
      </c>
      <c r="AL16" s="6">
        <v>0.41666666666666602</v>
      </c>
      <c r="AM16" s="6">
        <v>0.3</v>
      </c>
      <c r="AN16" s="6">
        <v>0.69</v>
      </c>
      <c r="AO16" s="6">
        <v>139</v>
      </c>
      <c r="AP16" s="6">
        <v>139</v>
      </c>
      <c r="AQ16" s="6">
        <v>55</v>
      </c>
      <c r="AR16" s="6">
        <v>194</v>
      </c>
      <c r="AS16" s="6">
        <v>71.649484536082397</v>
      </c>
      <c r="AT16" s="6">
        <v>1.395683453</v>
      </c>
      <c r="AU16" s="6">
        <v>0.47</v>
      </c>
      <c r="AV16" s="6">
        <v>29.5</v>
      </c>
      <c r="AW16" s="6">
        <v>0.1</v>
      </c>
      <c r="AX16" s="6">
        <v>64.748201438848895</v>
      </c>
      <c r="AY16" s="6">
        <v>35.251798561150999</v>
      </c>
      <c r="AZ16" s="6">
        <v>20</v>
      </c>
      <c r="BA16" s="6">
        <v>4.5</v>
      </c>
      <c r="BB16" s="6">
        <v>65.55</v>
      </c>
      <c r="BC16" s="6">
        <v>21.300277777777701</v>
      </c>
      <c r="BD16" s="6">
        <v>0.93895489104210905</v>
      </c>
      <c r="BE16" s="6">
        <v>156.43610785463</v>
      </c>
      <c r="BF16" s="6">
        <v>0</v>
      </c>
      <c r="BG16" s="6">
        <v>15.4358469050474</v>
      </c>
      <c r="BH16" s="6">
        <v>50</v>
      </c>
      <c r="BI16" s="6">
        <v>50</v>
      </c>
      <c r="BJ16" s="6">
        <v>30</v>
      </c>
      <c r="BK16" s="6">
        <v>4</v>
      </c>
      <c r="BL16" s="6">
        <v>3.75</v>
      </c>
      <c r="BM16" s="6">
        <v>50</v>
      </c>
      <c r="BN16" s="6">
        <v>0.187790978208421</v>
      </c>
      <c r="BO16" s="6">
        <v>85.714285714285694</v>
      </c>
      <c r="BP16" s="6">
        <v>68.807339449541203</v>
      </c>
      <c r="BQ16" s="6">
        <v>31.192660550458701</v>
      </c>
      <c r="BR16" s="6">
        <v>109</v>
      </c>
      <c r="BS16" s="6">
        <v>16</v>
      </c>
      <c r="BT16" s="6">
        <v>4.6875</v>
      </c>
      <c r="BU16" s="6">
        <v>69.4375</v>
      </c>
      <c r="BV16" s="6">
        <v>1.42648406349835</v>
      </c>
      <c r="BW16" s="6">
        <v>68.553459119496793</v>
      </c>
      <c r="BX16" s="6">
        <v>787</v>
      </c>
      <c r="BY16" s="6">
        <v>229</v>
      </c>
      <c r="BZ16" s="6">
        <v>1016</v>
      </c>
      <c r="CA16" s="6">
        <v>77.460629921259795</v>
      </c>
      <c r="CB16" s="6">
        <v>7.6390977443608996</v>
      </c>
      <c r="CC16" s="6">
        <v>4</v>
      </c>
      <c r="CD16" s="6">
        <v>21</v>
      </c>
      <c r="CE16" s="6">
        <v>72.972046179051702</v>
      </c>
      <c r="CF16" s="6">
        <v>23.973709422958599</v>
      </c>
      <c r="CG16" s="6">
        <v>4.4979322748366899</v>
      </c>
      <c r="CH16" s="6">
        <v>1.79484677064748</v>
      </c>
      <c r="CI16" s="6">
        <v>5.0516323938029597</v>
      </c>
      <c r="CJ16" s="6">
        <v>1.9744431095482999</v>
      </c>
    </row>
    <row r="17" spans="1:88" x14ac:dyDescent="0.2">
      <c r="A17" s="6">
        <v>16</v>
      </c>
      <c r="B17" s="6">
        <v>0.85999999999999943</v>
      </c>
      <c r="C17" s="19">
        <v>0</v>
      </c>
      <c r="D17" s="19">
        <v>2</v>
      </c>
      <c r="E17" s="20">
        <f t="shared" si="0"/>
        <v>-1</v>
      </c>
      <c r="F17" s="6">
        <v>3</v>
      </c>
      <c r="G17" s="6">
        <v>2</v>
      </c>
      <c r="H17" s="20">
        <v>0.2</v>
      </c>
      <c r="I17" s="20">
        <v>0.95333333333333281</v>
      </c>
      <c r="J17" s="6">
        <v>0.67000000000000171</v>
      </c>
      <c r="K17" s="6">
        <v>0.82536382536382502</v>
      </c>
      <c r="L17" s="6">
        <v>0.49152542372881303</v>
      </c>
      <c r="M17" s="6">
        <v>0.80714285714285705</v>
      </c>
      <c r="N17" s="6">
        <v>579</v>
      </c>
      <c r="O17" s="6">
        <v>842</v>
      </c>
      <c r="P17" s="6">
        <v>1.45423143350604</v>
      </c>
      <c r="Q17" s="6">
        <v>0.71</v>
      </c>
      <c r="R17" s="6">
        <v>0.1</v>
      </c>
      <c r="S17" s="6">
        <v>202.09260800361901</v>
      </c>
      <c r="T17" s="6">
        <v>0.80952380952380898</v>
      </c>
      <c r="U17" s="6">
        <v>0.82775119617224802</v>
      </c>
      <c r="V17" s="6">
        <v>0.5</v>
      </c>
      <c r="W17" s="6">
        <v>0.49090909090909002</v>
      </c>
      <c r="X17" s="6">
        <v>0.8</v>
      </c>
      <c r="Y17" s="6">
        <v>0.80740740740740702</v>
      </c>
      <c r="Z17" s="6">
        <v>0.96503496499999997</v>
      </c>
      <c r="AA17" s="6">
        <v>0.5</v>
      </c>
      <c r="AB17" s="6">
        <v>0.69333333333333302</v>
      </c>
      <c r="AC17" s="6">
        <v>318</v>
      </c>
      <c r="AD17" s="6">
        <v>536</v>
      </c>
      <c r="AE17" s="6">
        <v>1.68553459119496</v>
      </c>
      <c r="AF17" s="6">
        <v>0.41</v>
      </c>
      <c r="AG17" s="6">
        <v>0.08</v>
      </c>
      <c r="AH17" s="6">
        <v>166.27413127413101</v>
      </c>
      <c r="AI17" s="6">
        <v>0.96825396825396803</v>
      </c>
      <c r="AJ17" s="6">
        <v>0.96412556053811604</v>
      </c>
      <c r="AK17" s="6">
        <v>0.55555555555555503</v>
      </c>
      <c r="AL17" s="6">
        <v>0.46153846153846101</v>
      </c>
      <c r="AM17" s="6">
        <v>0.8</v>
      </c>
      <c r="AN17" s="6">
        <v>0.67857142857142805</v>
      </c>
      <c r="AO17" s="6">
        <v>177</v>
      </c>
      <c r="AP17" s="6">
        <v>177</v>
      </c>
      <c r="AQ17" s="6">
        <v>35</v>
      </c>
      <c r="AR17" s="6">
        <v>212</v>
      </c>
      <c r="AS17" s="6">
        <v>83.490566037735803</v>
      </c>
      <c r="AT17" s="6">
        <v>1.1977401129943499</v>
      </c>
      <c r="AU17" s="6">
        <v>0.41</v>
      </c>
      <c r="AV17" s="6">
        <v>16</v>
      </c>
      <c r="AW17" s="6">
        <v>0.06</v>
      </c>
      <c r="AX17" s="6">
        <v>84.180790960451901</v>
      </c>
      <c r="AY17" s="6">
        <v>15.819209039547999</v>
      </c>
      <c r="AZ17" s="6">
        <v>22</v>
      </c>
      <c r="BA17" s="6">
        <v>6.7727272727272698</v>
      </c>
      <c r="BB17" s="6">
        <v>83.181818181818102</v>
      </c>
      <c r="BC17" s="6">
        <v>20.8944444444444</v>
      </c>
      <c r="BD17" s="6">
        <v>1.05291146</v>
      </c>
      <c r="BE17" s="6">
        <v>203.09433060000001</v>
      </c>
      <c r="BF17" s="6">
        <v>5</v>
      </c>
      <c r="BG17" s="6">
        <v>13.642407472601199</v>
      </c>
      <c r="BH17" s="6">
        <v>80.5555555555555</v>
      </c>
      <c r="BI17" s="6">
        <v>19.4444444444444</v>
      </c>
      <c r="BJ17" s="6">
        <v>36</v>
      </c>
      <c r="BK17" s="6">
        <v>5</v>
      </c>
      <c r="BL17" s="6">
        <v>5.8</v>
      </c>
      <c r="BM17" s="6">
        <v>87.6</v>
      </c>
      <c r="BN17" s="6">
        <v>0.239298059026854</v>
      </c>
      <c r="BO17" s="6">
        <v>90</v>
      </c>
      <c r="BP17" s="6">
        <v>85.106382980000006</v>
      </c>
      <c r="BQ17" s="6">
        <v>14.8936170212765</v>
      </c>
      <c r="BR17" s="6">
        <v>141</v>
      </c>
      <c r="BS17" s="6">
        <v>17</v>
      </c>
      <c r="BT17" s="6">
        <v>7.0588235294117601</v>
      </c>
      <c r="BU17" s="6">
        <v>81.882352941176407</v>
      </c>
      <c r="BV17" s="6">
        <v>1.5274796585633701</v>
      </c>
      <c r="BW17" s="6">
        <v>81.976744186046503</v>
      </c>
      <c r="BX17" s="6">
        <v>1175</v>
      </c>
      <c r="BY17" s="6">
        <v>433</v>
      </c>
      <c r="BZ17" s="6">
        <v>1608</v>
      </c>
      <c r="CA17" s="6">
        <v>73.072139303482501</v>
      </c>
      <c r="CB17" s="6">
        <v>10.177215189873399</v>
      </c>
      <c r="CC17" s="6">
        <v>4</v>
      </c>
      <c r="CD17" s="6">
        <v>19</v>
      </c>
      <c r="CE17" s="6">
        <v>83.260854980269201</v>
      </c>
      <c r="CF17" s="6">
        <v>22.475684683019001</v>
      </c>
      <c r="CG17" s="6">
        <v>5.3879483969630702</v>
      </c>
      <c r="CH17" s="6">
        <v>1.6471898836032199</v>
      </c>
      <c r="CI17" s="6">
        <v>6.3364373726097698</v>
      </c>
      <c r="CJ17" s="6">
        <v>1.8549106433701701</v>
      </c>
    </row>
    <row r="18" spans="1:88" x14ac:dyDescent="0.2">
      <c r="A18" s="6">
        <v>17</v>
      </c>
      <c r="B18" s="6">
        <v>0.28999999999999915</v>
      </c>
      <c r="C18" s="19">
        <v>10</v>
      </c>
      <c r="D18" s="19">
        <v>0</v>
      </c>
      <c r="E18" s="20">
        <f t="shared" si="0"/>
        <v>1</v>
      </c>
      <c r="F18" s="6">
        <v>7</v>
      </c>
      <c r="G18" s="6">
        <v>3</v>
      </c>
      <c r="H18" s="20">
        <v>0.4</v>
      </c>
      <c r="I18" s="20">
        <v>0.62249999999999928</v>
      </c>
      <c r="J18" s="6">
        <v>0.63000000000000966</v>
      </c>
      <c r="K18" s="6">
        <v>0.76682692307692302</v>
      </c>
      <c r="L18" s="6">
        <v>0.32857142857142801</v>
      </c>
      <c r="M18" s="6">
        <v>0.76153846153846105</v>
      </c>
      <c r="N18" s="6">
        <v>534</v>
      </c>
      <c r="O18" s="6">
        <v>888</v>
      </c>
      <c r="P18" s="6">
        <v>1.6629213483145999</v>
      </c>
      <c r="Q18" s="6">
        <v>1.37</v>
      </c>
      <c r="R18" s="6">
        <v>0.11</v>
      </c>
      <c r="S18" s="6">
        <v>184.352037207964</v>
      </c>
      <c r="T18" s="6">
        <v>0.76923076923076905</v>
      </c>
      <c r="U18" s="6">
        <v>0.76648351648351598</v>
      </c>
      <c r="V18" s="6">
        <v>0.14285714285714199</v>
      </c>
      <c r="W18" s="6">
        <v>0.33870967741935398</v>
      </c>
      <c r="X18" s="6">
        <v>0.82499999999999996</v>
      </c>
      <c r="Y18" s="6">
        <v>0.71904761900000003</v>
      </c>
      <c r="Z18" s="6">
        <v>0.87003610108303198</v>
      </c>
      <c r="AA18" s="6">
        <v>0.47727272727272702</v>
      </c>
      <c r="AB18" s="6">
        <v>0.706666666666666</v>
      </c>
      <c r="AC18" s="6">
        <v>323</v>
      </c>
      <c r="AD18" s="6">
        <v>562</v>
      </c>
      <c r="AE18" s="6">
        <v>1.7399380804953499</v>
      </c>
      <c r="AF18" s="6">
        <v>0.65</v>
      </c>
      <c r="AG18" s="6">
        <v>0.09</v>
      </c>
      <c r="AH18" s="6">
        <v>172.10626302619599</v>
      </c>
      <c r="AI18" s="6">
        <v>0.86666666666666603</v>
      </c>
      <c r="AJ18" s="6">
        <v>0.87096774193548299</v>
      </c>
      <c r="AK18" s="6">
        <v>0.42857142857142799</v>
      </c>
      <c r="AL18" s="6">
        <v>0.48648648648648601</v>
      </c>
      <c r="AM18" s="6">
        <v>0.6</v>
      </c>
      <c r="AN18" s="6">
        <v>0.7</v>
      </c>
      <c r="AO18" s="6">
        <v>166</v>
      </c>
      <c r="AP18" s="6">
        <v>166</v>
      </c>
      <c r="AQ18" s="6">
        <v>71</v>
      </c>
      <c r="AR18" s="6">
        <v>237</v>
      </c>
      <c r="AS18" s="6">
        <v>70.042194089999995</v>
      </c>
      <c r="AT18" s="6">
        <v>1.42771084337349</v>
      </c>
      <c r="AU18" s="6">
        <v>0.65</v>
      </c>
      <c r="AV18" s="6">
        <v>25</v>
      </c>
      <c r="AW18" s="6">
        <v>0.1</v>
      </c>
      <c r="AX18" s="6">
        <v>66.265060240963805</v>
      </c>
      <c r="AY18" s="6">
        <v>33.734939759036102</v>
      </c>
      <c r="AZ18" s="6">
        <v>24</v>
      </c>
      <c r="BA18" s="6">
        <v>4.5833333333333304</v>
      </c>
      <c r="BB18" s="6">
        <v>61</v>
      </c>
      <c r="BC18" s="6">
        <v>21.411944444444401</v>
      </c>
      <c r="BD18" s="6">
        <v>1.1208697118690201</v>
      </c>
      <c r="BE18" s="6">
        <v>184.56786946002899</v>
      </c>
      <c r="BF18" s="6">
        <v>0</v>
      </c>
      <c r="BG18" s="6">
        <v>13.468969788257899</v>
      </c>
      <c r="BH18" s="6">
        <v>65.517241379310306</v>
      </c>
      <c r="BI18" s="6">
        <v>34.482758620689602</v>
      </c>
      <c r="BJ18" s="6">
        <v>29</v>
      </c>
      <c r="BK18" s="6">
        <v>4</v>
      </c>
      <c r="BL18" s="6">
        <v>4.75</v>
      </c>
      <c r="BM18" s="6">
        <v>68.25</v>
      </c>
      <c r="BN18" s="6">
        <v>0.186811618644837</v>
      </c>
      <c r="BO18" s="6">
        <v>72.5</v>
      </c>
      <c r="BP18" s="6">
        <v>66.423357664233507</v>
      </c>
      <c r="BQ18" s="6">
        <v>33.576642335766401</v>
      </c>
      <c r="BR18" s="6">
        <v>137</v>
      </c>
      <c r="BS18" s="6">
        <v>20</v>
      </c>
      <c r="BT18" s="6">
        <v>4.55</v>
      </c>
      <c r="BU18" s="6">
        <v>59.55</v>
      </c>
      <c r="BV18" s="6">
        <v>1.7123287671232801</v>
      </c>
      <c r="BW18" s="6">
        <v>69.543147208121795</v>
      </c>
      <c r="BX18" s="6">
        <v>1994</v>
      </c>
      <c r="BY18" s="6">
        <v>406</v>
      </c>
      <c r="BZ18" s="6">
        <v>2400</v>
      </c>
      <c r="CA18" s="6">
        <v>83.0833333333333</v>
      </c>
      <c r="CB18" s="6">
        <v>11.214953271028</v>
      </c>
      <c r="CC18" s="6">
        <v>9</v>
      </c>
      <c r="CD18" s="6">
        <v>21</v>
      </c>
      <c r="CE18" s="6">
        <v>112.9867273</v>
      </c>
      <c r="CF18" s="6">
        <v>22.178613197598899</v>
      </c>
      <c r="CG18" s="6">
        <v>7.3917990157008102</v>
      </c>
      <c r="CH18" s="6">
        <v>1.8472540443919201</v>
      </c>
      <c r="CI18" s="6">
        <v>7.4809658677730404</v>
      </c>
      <c r="CJ18" s="6">
        <v>1.86396912903139</v>
      </c>
    </row>
    <row r="19" spans="1:88" x14ac:dyDescent="0.2">
      <c r="A19" s="6">
        <v>18</v>
      </c>
      <c r="B19" s="6">
        <v>0.78999999999999915</v>
      </c>
      <c r="C19" s="19">
        <v>13</v>
      </c>
      <c r="D19" s="19">
        <v>0</v>
      </c>
      <c r="E19" s="20">
        <f t="shared" si="0"/>
        <v>1</v>
      </c>
      <c r="F19" s="6">
        <v>0</v>
      </c>
      <c r="G19" s="6">
        <v>5</v>
      </c>
      <c r="H19" s="20">
        <v>-1</v>
      </c>
      <c r="I19" s="20">
        <v>1.2908333333333337</v>
      </c>
      <c r="J19" s="6">
        <v>0.35999999999999943</v>
      </c>
      <c r="K19" s="6">
        <v>0.80924855491329395</v>
      </c>
      <c r="L19" s="6">
        <v>0.4</v>
      </c>
      <c r="M19" s="6">
        <v>0.87272727272727202</v>
      </c>
      <c r="N19" s="6">
        <v>444</v>
      </c>
      <c r="O19" s="6">
        <v>754</v>
      </c>
      <c r="P19" s="6">
        <v>1.69819819819819</v>
      </c>
      <c r="Q19" s="6">
        <v>0.59</v>
      </c>
      <c r="R19" s="6">
        <v>0.1</v>
      </c>
      <c r="S19" s="6">
        <v>155.91230908041501</v>
      </c>
      <c r="T19" s="6">
        <v>0.81967213100000003</v>
      </c>
      <c r="U19" s="6">
        <v>0.80701754385964897</v>
      </c>
      <c r="V19" s="6">
        <v>0.6</v>
      </c>
      <c r="W19" s="6">
        <v>0.36363636363636298</v>
      </c>
      <c r="X19" s="6">
        <v>0.85</v>
      </c>
      <c r="Y19" s="6">
        <v>0.83333333333333304</v>
      </c>
      <c r="Z19" s="6">
        <v>0.88768115942028902</v>
      </c>
      <c r="AA19" s="6">
        <v>0.64705882352941102</v>
      </c>
      <c r="AB19" s="6">
        <v>0.80666666666666598</v>
      </c>
      <c r="AC19" s="6">
        <v>315</v>
      </c>
      <c r="AD19" s="6">
        <v>537</v>
      </c>
      <c r="AE19" s="6">
        <v>1.7047619047619</v>
      </c>
      <c r="AF19" s="6">
        <v>0.28999999999999998</v>
      </c>
      <c r="AG19" s="6">
        <v>0.13</v>
      </c>
      <c r="AH19" s="6">
        <v>167.761819638784</v>
      </c>
      <c r="AI19" s="6">
        <v>0.82142857142857095</v>
      </c>
      <c r="AJ19" s="6">
        <v>0.90410958904109495</v>
      </c>
      <c r="AK19" s="6">
        <v>0.33333333333333298</v>
      </c>
      <c r="AL19" s="6">
        <v>0.76</v>
      </c>
      <c r="AM19" s="6">
        <v>0.7</v>
      </c>
      <c r="AN19" s="6">
        <v>0.79285714285714204</v>
      </c>
      <c r="AO19" s="6">
        <v>154</v>
      </c>
      <c r="AP19" s="6">
        <v>154</v>
      </c>
      <c r="AQ19" s="6">
        <v>72</v>
      </c>
      <c r="AR19" s="6">
        <v>226</v>
      </c>
      <c r="AS19" s="6">
        <v>68.141592920353901</v>
      </c>
      <c r="AT19" s="6">
        <v>1.4675324675324599</v>
      </c>
      <c r="AU19" s="6">
        <v>0.28999999999999998</v>
      </c>
      <c r="AV19" s="6">
        <v>20</v>
      </c>
      <c r="AW19" s="6">
        <v>0.14000000000000001</v>
      </c>
      <c r="AX19" s="6">
        <v>79.870129870129801</v>
      </c>
      <c r="AY19" s="6">
        <v>20.129870129870099</v>
      </c>
      <c r="AZ19" s="6">
        <v>19</v>
      </c>
      <c r="BA19" s="6">
        <v>6.4736842105263097</v>
      </c>
      <c r="BB19" s="6">
        <v>92.578947368420998</v>
      </c>
      <c r="BC19" s="6">
        <v>21.1588888888888</v>
      </c>
      <c r="BD19" s="6">
        <v>0.89796775718111599</v>
      </c>
      <c r="BE19" s="6">
        <v>174.23688862698799</v>
      </c>
      <c r="BF19" s="6">
        <v>15</v>
      </c>
      <c r="BG19" s="6">
        <v>18.161086441980402</v>
      </c>
      <c r="BH19" s="6">
        <v>75.5555555555555</v>
      </c>
      <c r="BI19" s="6">
        <v>24.4444444444444</v>
      </c>
      <c r="BJ19" s="6">
        <v>45</v>
      </c>
      <c r="BK19" s="6">
        <v>6</v>
      </c>
      <c r="BL19" s="6">
        <v>5.6666666666666599</v>
      </c>
      <c r="BM19" s="6">
        <v>73.8333333333333</v>
      </c>
      <c r="BN19" s="6">
        <v>0.28356876542561499</v>
      </c>
      <c r="BO19" s="6">
        <v>72.580645161290306</v>
      </c>
      <c r="BP19" s="6">
        <v>81.651376146788905</v>
      </c>
      <c r="BQ19" s="6">
        <v>18.348623853210999</v>
      </c>
      <c r="BR19" s="6">
        <v>109</v>
      </c>
      <c r="BS19" s="6">
        <v>13</v>
      </c>
      <c r="BT19" s="6">
        <v>6.8461538461538396</v>
      </c>
      <c r="BU19" s="6">
        <v>101.230769230769</v>
      </c>
      <c r="BV19" s="6">
        <v>1.09642957548495</v>
      </c>
      <c r="BW19" s="6">
        <v>66.463414634146304</v>
      </c>
      <c r="BX19" s="6">
        <v>1641</v>
      </c>
      <c r="BY19" s="6">
        <v>579</v>
      </c>
      <c r="BZ19" s="6">
        <v>2220</v>
      </c>
      <c r="CA19" s="6">
        <v>73.918918918918905</v>
      </c>
      <c r="CB19" s="6">
        <v>13.875</v>
      </c>
      <c r="CC19" s="6">
        <v>7.5</v>
      </c>
      <c r="CD19" s="6">
        <v>14</v>
      </c>
      <c r="CE19" s="6">
        <v>89.942029551265705</v>
      </c>
      <c r="CF19" s="6">
        <v>14.957274410805301</v>
      </c>
      <c r="CG19" s="6">
        <v>8.1434137030573908</v>
      </c>
      <c r="CH19" s="6">
        <v>1.6349370762676201</v>
      </c>
      <c r="CI19" s="6">
        <v>8.1061804209999995</v>
      </c>
      <c r="CJ19" s="6">
        <v>1.6294135343817799</v>
      </c>
    </row>
    <row r="20" spans="1:88" x14ac:dyDescent="0.2">
      <c r="A20" s="6">
        <v>19</v>
      </c>
      <c r="B20" s="6">
        <v>0.57000000000000028</v>
      </c>
      <c r="C20" s="19">
        <v>9</v>
      </c>
      <c r="D20" s="19">
        <v>3</v>
      </c>
      <c r="E20" s="20">
        <f t="shared" si="0"/>
        <v>0.5</v>
      </c>
      <c r="F20" s="6">
        <v>1</v>
      </c>
      <c r="G20" s="6">
        <v>1</v>
      </c>
      <c r="H20" s="20">
        <v>0</v>
      </c>
      <c r="I20" s="20">
        <v>1.0983333333333327</v>
      </c>
      <c r="J20" s="6">
        <v>0.25</v>
      </c>
      <c r="K20" s="6">
        <v>0.842592592592592</v>
      </c>
      <c r="L20" s="6">
        <v>0.40677966101694901</v>
      </c>
      <c r="M20" s="6">
        <v>0.79499999999999904</v>
      </c>
      <c r="N20" s="6">
        <v>415</v>
      </c>
      <c r="O20" s="6">
        <v>665</v>
      </c>
      <c r="P20" s="6">
        <v>1.6024096385542099</v>
      </c>
      <c r="Q20" s="6">
        <v>0.77</v>
      </c>
      <c r="R20" s="6">
        <v>0.09</v>
      </c>
      <c r="S20" s="6">
        <v>147.77691686311999</v>
      </c>
      <c r="T20" s="6">
        <v>0.76</v>
      </c>
      <c r="U20" s="6">
        <v>0.84949832775919698</v>
      </c>
      <c r="V20" s="6">
        <v>0.5</v>
      </c>
      <c r="W20" s="6">
        <v>0.407407407407407</v>
      </c>
      <c r="X20" s="6">
        <v>0.7</v>
      </c>
      <c r="Y20" s="6">
        <v>0.81499999999999895</v>
      </c>
      <c r="Z20" s="6">
        <v>0.90308370044052799</v>
      </c>
      <c r="AA20" s="6">
        <v>0.282608695652173</v>
      </c>
      <c r="AB20" s="6">
        <v>0.67857142857142805</v>
      </c>
      <c r="AC20" s="6">
        <v>287</v>
      </c>
      <c r="AD20" s="6">
        <v>529</v>
      </c>
      <c r="AE20" s="6">
        <v>1.8432055749128899</v>
      </c>
      <c r="AF20" s="6">
        <v>0.59</v>
      </c>
      <c r="AG20" s="6">
        <v>0.1</v>
      </c>
      <c r="AH20" s="6">
        <v>151.80537019578</v>
      </c>
      <c r="AI20" s="6">
        <v>0.8</v>
      </c>
      <c r="AJ20" s="6">
        <v>0.925133689839572</v>
      </c>
      <c r="AK20" s="6">
        <v>0.30769230769230699</v>
      </c>
      <c r="AL20" s="6">
        <v>0.27272727272727199</v>
      </c>
      <c r="AM20" s="6">
        <v>0.45</v>
      </c>
      <c r="AN20" s="6">
        <v>0.71818181818181803</v>
      </c>
      <c r="AO20" s="6">
        <v>145</v>
      </c>
      <c r="AP20" s="6">
        <v>145</v>
      </c>
      <c r="AQ20" s="6">
        <v>49</v>
      </c>
      <c r="AR20" s="6">
        <v>194</v>
      </c>
      <c r="AS20" s="6">
        <v>74.742268041237097</v>
      </c>
      <c r="AT20" s="6">
        <v>1.33793103448275</v>
      </c>
      <c r="AU20" s="6">
        <v>0.89</v>
      </c>
      <c r="AV20" s="6">
        <v>55.5</v>
      </c>
      <c r="AW20" s="6">
        <v>8.5000000000000006E-2</v>
      </c>
      <c r="AX20" s="6">
        <v>55.172413793103402</v>
      </c>
      <c r="AY20" s="6">
        <v>44.827586206896498</v>
      </c>
      <c r="AZ20" s="6">
        <v>18</v>
      </c>
      <c r="BA20" s="6">
        <v>4.4444444444444402</v>
      </c>
      <c r="BB20" s="6">
        <v>71.2777777777777</v>
      </c>
      <c r="BC20" s="6">
        <v>23.359166666666599</v>
      </c>
      <c r="BD20" s="6">
        <v>0.77057543434055098</v>
      </c>
      <c r="BE20" s="6">
        <v>148.74443455031101</v>
      </c>
      <c r="BF20" s="6">
        <v>8</v>
      </c>
      <c r="BG20" s="6">
        <v>15.614567710034301</v>
      </c>
      <c r="BH20" s="6">
        <v>32.352941176470502</v>
      </c>
      <c r="BI20" s="6">
        <v>67.647058819999998</v>
      </c>
      <c r="BJ20" s="6">
        <v>34</v>
      </c>
      <c r="BK20" s="6">
        <v>3</v>
      </c>
      <c r="BL20" s="6">
        <v>3.6666666666666599</v>
      </c>
      <c r="BM20" s="6">
        <v>69.3333333333333</v>
      </c>
      <c r="BN20" s="6">
        <v>0.12842923905675799</v>
      </c>
      <c r="BO20" s="6">
        <v>80.952380952380906</v>
      </c>
      <c r="BP20" s="6">
        <v>62.162162162162097</v>
      </c>
      <c r="BQ20" s="6">
        <v>37.837837837837803</v>
      </c>
      <c r="BR20" s="6">
        <v>111</v>
      </c>
      <c r="BS20" s="6">
        <v>15</v>
      </c>
      <c r="BT20" s="6">
        <v>4.5999999999999996</v>
      </c>
      <c r="BU20" s="6">
        <v>71.6666666666666</v>
      </c>
      <c r="BV20" s="6">
        <v>1.2694531947905401</v>
      </c>
      <c r="BW20" s="6">
        <v>73.0263157894736</v>
      </c>
      <c r="BX20" s="6">
        <v>1286</v>
      </c>
      <c r="BY20" s="6">
        <v>308</v>
      </c>
      <c r="BZ20" s="6">
        <v>1594</v>
      </c>
      <c r="CA20" s="6">
        <v>80.677540777917102</v>
      </c>
      <c r="CB20" s="6">
        <v>11.984962406015001</v>
      </c>
      <c r="CC20" s="6">
        <v>6.5</v>
      </c>
      <c r="CD20" s="6">
        <v>14</v>
      </c>
      <c r="CE20" s="6">
        <v>70.111043319999993</v>
      </c>
      <c r="CF20" s="6">
        <v>15.714652950556101</v>
      </c>
      <c r="CG20" s="6">
        <v>6.1160344029999996</v>
      </c>
      <c r="CH20" s="6">
        <v>1.81629133861626</v>
      </c>
      <c r="CI20" s="6">
        <v>6.5359065530000002</v>
      </c>
      <c r="CJ20" s="6">
        <v>1.9044993446435901</v>
      </c>
    </row>
    <row r="21" spans="1:88" x14ac:dyDescent="0.2">
      <c r="A21" s="6">
        <v>20</v>
      </c>
      <c r="B21" s="6">
        <v>0.53999999999999915</v>
      </c>
      <c r="C21" s="19">
        <v>7</v>
      </c>
      <c r="D21" s="19">
        <v>0</v>
      </c>
      <c r="E21" s="20">
        <f t="shared" si="0"/>
        <v>1</v>
      </c>
      <c r="F21" s="6">
        <v>2</v>
      </c>
      <c r="G21" s="6">
        <v>6</v>
      </c>
      <c r="H21" s="20">
        <v>-0.5</v>
      </c>
      <c r="I21" s="20">
        <v>0.68999999999999895</v>
      </c>
      <c r="J21" s="6">
        <v>0.71000000000000796</v>
      </c>
      <c r="K21" s="6">
        <v>0.72131147540983598</v>
      </c>
      <c r="L21" s="6">
        <v>0.49019607843137197</v>
      </c>
      <c r="M21" s="6">
        <v>0.72</v>
      </c>
      <c r="N21" s="6">
        <v>509</v>
      </c>
      <c r="O21" s="6">
        <v>901</v>
      </c>
      <c r="P21" s="6">
        <v>1.77013752455795</v>
      </c>
      <c r="Q21" s="6">
        <v>1.07</v>
      </c>
      <c r="R21" s="6">
        <v>0.11</v>
      </c>
      <c r="S21" s="6">
        <v>180.29000479999999</v>
      </c>
      <c r="T21" s="6">
        <v>0.77333333333333298</v>
      </c>
      <c r="U21" s="6">
        <v>0.70790378006872801</v>
      </c>
      <c r="V21" s="6">
        <v>0.33333333333333298</v>
      </c>
      <c r="W21" s="6">
        <v>0.51111111111111096</v>
      </c>
      <c r="X21" s="6">
        <v>0.59999999999999898</v>
      </c>
      <c r="Y21" s="6">
        <v>0.69545454545454499</v>
      </c>
      <c r="Z21" s="6">
        <v>0.82040816326530597</v>
      </c>
      <c r="AA21" s="6">
        <v>0.53521126760563298</v>
      </c>
      <c r="AB21" s="6">
        <v>0.68461538461538396</v>
      </c>
      <c r="AC21" s="6">
        <v>284</v>
      </c>
      <c r="AD21" s="6">
        <v>526</v>
      </c>
      <c r="AE21" s="6">
        <v>1.85211267605633</v>
      </c>
      <c r="AF21" s="6">
        <v>0.41</v>
      </c>
      <c r="AG21" s="6">
        <v>0.1</v>
      </c>
      <c r="AH21" s="6">
        <v>164.69140426442601</v>
      </c>
      <c r="AI21" s="6">
        <v>0.73809523809523803</v>
      </c>
      <c r="AJ21" s="6">
        <v>0.83743842364531995</v>
      </c>
      <c r="AK21" s="6">
        <v>0.58823529411764697</v>
      </c>
      <c r="AL21" s="6">
        <v>0.51851851851851805</v>
      </c>
      <c r="AM21" s="6">
        <v>0.6</v>
      </c>
      <c r="AN21" s="6">
        <v>0.75</v>
      </c>
      <c r="AO21" s="6">
        <v>200</v>
      </c>
      <c r="AP21" s="6">
        <v>200</v>
      </c>
      <c r="AQ21" s="6">
        <v>81</v>
      </c>
      <c r="AR21" s="6">
        <v>281</v>
      </c>
      <c r="AS21" s="6">
        <v>71.174377224199205</v>
      </c>
      <c r="AT21" s="6">
        <v>1.405</v>
      </c>
      <c r="AU21" s="6">
        <v>0.59</v>
      </c>
      <c r="AV21" s="6">
        <v>26</v>
      </c>
      <c r="AW21" s="6">
        <v>0.1</v>
      </c>
      <c r="AX21" s="6">
        <v>73</v>
      </c>
      <c r="AY21" s="6">
        <v>27</v>
      </c>
      <c r="AZ21" s="6">
        <v>31</v>
      </c>
      <c r="BA21" s="6">
        <v>4.7096774193548301</v>
      </c>
      <c r="BB21" s="6">
        <v>71.677419349999994</v>
      </c>
      <c r="BC21" s="6">
        <v>19.177222222222198</v>
      </c>
      <c r="BD21" s="6">
        <v>1.61650105738868</v>
      </c>
      <c r="BE21" s="6">
        <v>250.11217415217999</v>
      </c>
      <c r="BF21" s="6">
        <v>65</v>
      </c>
      <c r="BG21" s="6">
        <v>13.9975098966522</v>
      </c>
      <c r="BH21" s="6">
        <v>68.181818181818102</v>
      </c>
      <c r="BI21" s="6">
        <v>31.818181818181799</v>
      </c>
      <c r="BJ21" s="6">
        <v>44</v>
      </c>
      <c r="BK21" s="6">
        <v>6</v>
      </c>
      <c r="BL21" s="6">
        <v>5</v>
      </c>
      <c r="BM21" s="6">
        <v>86.3333333333333</v>
      </c>
      <c r="BN21" s="6">
        <v>0.31287117239780898</v>
      </c>
      <c r="BO21" s="6">
        <v>67.692307690000007</v>
      </c>
      <c r="BP21" s="6">
        <v>74.358974358974294</v>
      </c>
      <c r="BQ21" s="6">
        <v>25.6410256410256</v>
      </c>
      <c r="BR21" s="6">
        <v>156</v>
      </c>
      <c r="BS21" s="6">
        <v>25</v>
      </c>
      <c r="BT21" s="6">
        <v>4.6399999999999997</v>
      </c>
      <c r="BU21" s="6">
        <v>68.16</v>
      </c>
      <c r="BV21" s="6">
        <v>2.3396069460330602</v>
      </c>
      <c r="BW21" s="6">
        <v>72.2222222222222</v>
      </c>
      <c r="BX21" s="6">
        <v>965</v>
      </c>
      <c r="BY21" s="6">
        <v>373</v>
      </c>
      <c r="BZ21" s="6">
        <v>1338</v>
      </c>
      <c r="CA21" s="6">
        <v>72.122571001494705</v>
      </c>
      <c r="CB21" s="6">
        <v>10.453125</v>
      </c>
      <c r="CC21" s="6">
        <v>4.5</v>
      </c>
      <c r="CD21" s="6">
        <v>16</v>
      </c>
      <c r="CE21" s="6">
        <v>66.768900105050804</v>
      </c>
      <c r="CF21" s="6">
        <v>17.987352303346398</v>
      </c>
      <c r="CG21" s="6">
        <v>5.4854895668628298</v>
      </c>
      <c r="CH21" s="6">
        <v>1.9045933049705099</v>
      </c>
      <c r="CI21" s="6">
        <v>5.9136126723582398</v>
      </c>
      <c r="CJ21" s="6">
        <v>2.0133501356153101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All Data Sheet</vt:lpstr>
      <vt:lpstr>Animal Weight</vt:lpstr>
      <vt:lpstr>Chow Weight</vt:lpstr>
      <vt:lpstr>Pellet Intake</vt:lpstr>
      <vt:lpstr>Preference Tests</vt:lpstr>
      <vt:lpstr>Correlation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Murrell, Chantelle</cp:lastModifiedBy>
  <dcterms:modified xsi:type="dcterms:W3CDTF">2026-04-06T15:19:19Z</dcterms:modified>
</cp:coreProperties>
</file>